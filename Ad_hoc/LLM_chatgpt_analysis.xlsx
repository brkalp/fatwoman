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5GB\Ad_hoc\"/>
    </mc:Choice>
  </mc:AlternateContent>
  <xr:revisionPtr revIDLastSave="0" documentId="13_ncr:1_{AEB920F8-8E40-44E1-A681-D27B2D43EE7E}" xr6:coauthVersionLast="47" xr6:coauthVersionMax="47" xr10:uidLastSave="{00000000-0000-0000-0000-000000000000}"/>
  <bookViews>
    <workbookView xWindow="14900" yWindow="3910" windowWidth="23090" windowHeight="14260" activeTab="4" xr2:uid="{B18AFA55-BABB-46C9-93DA-B12ED54401D6}"/>
  </bookViews>
  <sheets>
    <sheet name="1" sheetId="2" r:id="rId1"/>
    <sheet name="2" sheetId="3" r:id="rId2"/>
    <sheet name="3" sheetId="4" r:id="rId3"/>
    <sheet name="Sum and Cleaner" sheetId="5" r:id="rId4"/>
    <sheet name="Clean" sheetId="6" r:id="rId5"/>
    <sheet name="List to fetch" sheetId="9" r:id="rId6"/>
    <sheet name="changed on 161225" sheetId="7" r:id="rId7"/>
  </sheets>
  <definedNames>
    <definedName name="_xlnm._FilterDatabase" localSheetId="0" hidden="1">'1'!$A$1:$A$529</definedName>
    <definedName name="_xlnm._FilterDatabase" localSheetId="4" hidden="1">Clean!$A$1:$H$35</definedName>
    <definedName name="_xlnm._FilterDatabase" localSheetId="3" hidden="1">'Sum and Cleaner'!$A$1:$H$695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0" i="9" l="1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H695" i="5"/>
  <c r="H694" i="5"/>
  <c r="H693" i="5"/>
  <c r="H692" i="5"/>
  <c r="H691" i="5"/>
  <c r="H690" i="5"/>
  <c r="H689" i="5"/>
  <c r="H688" i="5"/>
  <c r="H687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86" i="5"/>
  <c r="D686" i="5"/>
  <c r="E686" i="5"/>
  <c r="F686" i="5"/>
  <c r="G686" i="5"/>
  <c r="D687" i="5"/>
  <c r="E687" i="5"/>
  <c r="F687" i="5"/>
  <c r="G687" i="5"/>
  <c r="D688" i="5"/>
  <c r="E688" i="5"/>
  <c r="F688" i="5"/>
  <c r="G688" i="5"/>
  <c r="D689" i="5"/>
  <c r="E689" i="5"/>
  <c r="F689" i="5"/>
  <c r="G689" i="5"/>
  <c r="D690" i="5"/>
  <c r="E690" i="5"/>
  <c r="F690" i="5"/>
  <c r="G690" i="5"/>
  <c r="D691" i="5"/>
  <c r="E691" i="5"/>
  <c r="F691" i="5"/>
  <c r="G691" i="5"/>
  <c r="D692" i="5"/>
  <c r="E692" i="5"/>
  <c r="F692" i="5"/>
  <c r="G692" i="5"/>
  <c r="D693" i="5"/>
  <c r="E693" i="5"/>
  <c r="F693" i="5"/>
  <c r="G693" i="5"/>
  <c r="D694" i="5"/>
  <c r="E694" i="5"/>
  <c r="F694" i="5"/>
  <c r="G694" i="5"/>
  <c r="D695" i="5"/>
  <c r="E695" i="5"/>
  <c r="F695" i="5"/>
  <c r="G695" i="5"/>
  <c r="D653" i="5"/>
  <c r="E653" i="5"/>
  <c r="F653" i="5"/>
  <c r="G653" i="5"/>
  <c r="D654" i="5"/>
  <c r="E654" i="5"/>
  <c r="F654" i="5"/>
  <c r="G654" i="5"/>
  <c r="D655" i="5"/>
  <c r="E655" i="5"/>
  <c r="F655" i="5"/>
  <c r="G655" i="5"/>
  <c r="D656" i="5"/>
  <c r="E656" i="5"/>
  <c r="F656" i="5"/>
  <c r="G656" i="5"/>
  <c r="D657" i="5"/>
  <c r="E657" i="5"/>
  <c r="F657" i="5"/>
  <c r="G657" i="5"/>
  <c r="D658" i="5"/>
  <c r="E658" i="5"/>
  <c r="F658" i="5"/>
  <c r="G658" i="5"/>
  <c r="D659" i="5"/>
  <c r="E659" i="5"/>
  <c r="F659" i="5"/>
  <c r="G659" i="5"/>
  <c r="D660" i="5"/>
  <c r="E660" i="5"/>
  <c r="F660" i="5"/>
  <c r="G660" i="5"/>
  <c r="D661" i="5"/>
  <c r="E661" i="5"/>
  <c r="F661" i="5"/>
  <c r="G661" i="5"/>
  <c r="D662" i="5"/>
  <c r="E662" i="5"/>
  <c r="F662" i="5"/>
  <c r="G662" i="5"/>
  <c r="D663" i="5"/>
  <c r="E663" i="5"/>
  <c r="F663" i="5"/>
  <c r="G663" i="5"/>
  <c r="D664" i="5"/>
  <c r="E664" i="5"/>
  <c r="F664" i="5"/>
  <c r="G664" i="5"/>
  <c r="D665" i="5"/>
  <c r="E665" i="5"/>
  <c r="F665" i="5"/>
  <c r="G665" i="5"/>
  <c r="D666" i="5"/>
  <c r="E666" i="5"/>
  <c r="F666" i="5"/>
  <c r="G666" i="5"/>
  <c r="D667" i="5"/>
  <c r="E667" i="5"/>
  <c r="F667" i="5"/>
  <c r="G667" i="5"/>
  <c r="D668" i="5"/>
  <c r="E668" i="5"/>
  <c r="F668" i="5"/>
  <c r="G668" i="5"/>
  <c r="D669" i="5"/>
  <c r="E669" i="5"/>
  <c r="F669" i="5"/>
  <c r="G669" i="5"/>
  <c r="D670" i="5"/>
  <c r="E670" i="5"/>
  <c r="F670" i="5"/>
  <c r="G670" i="5"/>
  <c r="D671" i="5"/>
  <c r="E671" i="5"/>
  <c r="F671" i="5"/>
  <c r="G671" i="5"/>
  <c r="D672" i="5"/>
  <c r="E672" i="5"/>
  <c r="F672" i="5"/>
  <c r="G672" i="5"/>
  <c r="D673" i="5"/>
  <c r="E673" i="5"/>
  <c r="F673" i="5"/>
  <c r="G673" i="5"/>
  <c r="D674" i="5"/>
  <c r="E674" i="5"/>
  <c r="F674" i="5"/>
  <c r="G674" i="5"/>
  <c r="D675" i="5"/>
  <c r="E675" i="5"/>
  <c r="F675" i="5"/>
  <c r="G675" i="5"/>
  <c r="D676" i="5"/>
  <c r="E676" i="5"/>
  <c r="F676" i="5"/>
  <c r="G676" i="5"/>
  <c r="D677" i="5"/>
  <c r="E677" i="5"/>
  <c r="F677" i="5"/>
  <c r="G677" i="5"/>
  <c r="D678" i="5"/>
  <c r="E678" i="5"/>
  <c r="F678" i="5"/>
  <c r="G678" i="5"/>
  <c r="D679" i="5"/>
  <c r="E679" i="5"/>
  <c r="F679" i="5"/>
  <c r="G679" i="5"/>
  <c r="D680" i="5"/>
  <c r="E680" i="5"/>
  <c r="F680" i="5"/>
  <c r="G680" i="5"/>
  <c r="D681" i="5"/>
  <c r="E681" i="5"/>
  <c r="F681" i="5"/>
  <c r="G681" i="5"/>
  <c r="D682" i="5"/>
  <c r="E682" i="5"/>
  <c r="F682" i="5"/>
  <c r="G682" i="5"/>
  <c r="D683" i="5"/>
  <c r="E683" i="5"/>
  <c r="F683" i="5"/>
  <c r="G683" i="5"/>
  <c r="D684" i="5"/>
  <c r="E684" i="5"/>
  <c r="F684" i="5"/>
  <c r="G684" i="5"/>
  <c r="D685" i="5"/>
  <c r="E685" i="5"/>
  <c r="F685" i="5"/>
  <c r="G685" i="5"/>
  <c r="B695" i="5"/>
  <c r="B694" i="5"/>
  <c r="B693" i="5"/>
  <c r="B692" i="5"/>
  <c r="B691" i="5"/>
  <c r="B690" i="5"/>
  <c r="B689" i="5"/>
  <c r="B688" i="5"/>
  <c r="B687" i="5"/>
  <c r="B686" i="5"/>
  <c r="C686" i="5" s="1"/>
  <c r="B685" i="5"/>
  <c r="B684" i="5"/>
  <c r="B683" i="5"/>
  <c r="B682" i="5"/>
  <c r="B681" i="5"/>
  <c r="B680" i="5"/>
  <c r="B679" i="5"/>
  <c r="B678" i="5"/>
  <c r="B677" i="5"/>
  <c r="B676" i="5"/>
  <c r="B675" i="5"/>
  <c r="C675" i="5" s="1"/>
  <c r="B674" i="5"/>
  <c r="B673" i="5"/>
  <c r="B672" i="5"/>
  <c r="B671" i="5"/>
  <c r="B670" i="5"/>
  <c r="B669" i="5"/>
  <c r="B668" i="5"/>
  <c r="B667" i="5"/>
  <c r="B666" i="5"/>
  <c r="B665" i="5"/>
  <c r="B664" i="5"/>
  <c r="C664" i="5" s="1"/>
  <c r="B663" i="5"/>
  <c r="B662" i="5"/>
  <c r="B661" i="5"/>
  <c r="B660" i="5"/>
  <c r="B659" i="5"/>
  <c r="B658" i="5"/>
  <c r="B657" i="5"/>
  <c r="B656" i="5"/>
  <c r="B655" i="5"/>
  <c r="B654" i="5"/>
  <c r="B653" i="5"/>
  <c r="C653" i="5" s="1"/>
  <c r="H652" i="5"/>
  <c r="G652" i="5"/>
  <c r="F652" i="5"/>
  <c r="E652" i="5"/>
  <c r="D652" i="5"/>
  <c r="B652" i="5"/>
  <c r="H651" i="5"/>
  <c r="G651" i="5"/>
  <c r="F651" i="5"/>
  <c r="E651" i="5"/>
  <c r="D651" i="5"/>
  <c r="B651" i="5"/>
  <c r="H650" i="5"/>
  <c r="G650" i="5"/>
  <c r="F650" i="5"/>
  <c r="E650" i="5"/>
  <c r="D650" i="5"/>
  <c r="B650" i="5"/>
  <c r="H649" i="5"/>
  <c r="G649" i="5"/>
  <c r="F649" i="5"/>
  <c r="E649" i="5"/>
  <c r="D649" i="5"/>
  <c r="B649" i="5"/>
  <c r="H648" i="5"/>
  <c r="G648" i="5"/>
  <c r="F648" i="5"/>
  <c r="E648" i="5"/>
  <c r="D648" i="5"/>
  <c r="B648" i="5"/>
  <c r="H647" i="5"/>
  <c r="G647" i="5"/>
  <c r="F647" i="5"/>
  <c r="E647" i="5"/>
  <c r="D647" i="5"/>
  <c r="B647" i="5"/>
  <c r="H646" i="5"/>
  <c r="G646" i="5"/>
  <c r="F646" i="5"/>
  <c r="E646" i="5"/>
  <c r="D646" i="5"/>
  <c r="B646" i="5"/>
  <c r="H645" i="5"/>
  <c r="G645" i="5"/>
  <c r="F645" i="5"/>
  <c r="E645" i="5"/>
  <c r="D645" i="5"/>
  <c r="B645" i="5"/>
  <c r="H644" i="5"/>
  <c r="G644" i="5"/>
  <c r="F644" i="5"/>
  <c r="E644" i="5"/>
  <c r="D644" i="5"/>
  <c r="B644" i="5"/>
  <c r="H643" i="5"/>
  <c r="G643" i="5"/>
  <c r="F643" i="5"/>
  <c r="E643" i="5"/>
  <c r="D643" i="5"/>
  <c r="B643" i="5"/>
  <c r="H642" i="5"/>
  <c r="G642" i="5"/>
  <c r="F642" i="5"/>
  <c r="E642" i="5"/>
  <c r="D642" i="5"/>
  <c r="B642" i="5"/>
  <c r="H641" i="5"/>
  <c r="G641" i="5"/>
  <c r="F641" i="5"/>
  <c r="E641" i="5"/>
  <c r="D641" i="5"/>
  <c r="B641" i="5"/>
  <c r="H640" i="5"/>
  <c r="G640" i="5"/>
  <c r="F640" i="5"/>
  <c r="E640" i="5"/>
  <c r="D640" i="5"/>
  <c r="B640" i="5"/>
  <c r="H639" i="5"/>
  <c r="G639" i="5"/>
  <c r="F639" i="5"/>
  <c r="E639" i="5"/>
  <c r="D639" i="5"/>
  <c r="B639" i="5"/>
  <c r="H638" i="5"/>
  <c r="G638" i="5"/>
  <c r="F638" i="5"/>
  <c r="E638" i="5"/>
  <c r="D638" i="5"/>
  <c r="B638" i="5"/>
  <c r="H637" i="5"/>
  <c r="G637" i="5"/>
  <c r="F637" i="5"/>
  <c r="E637" i="5"/>
  <c r="D637" i="5"/>
  <c r="B637" i="5"/>
  <c r="H636" i="5"/>
  <c r="G636" i="5"/>
  <c r="F636" i="5"/>
  <c r="E636" i="5"/>
  <c r="D636" i="5"/>
  <c r="B636" i="5"/>
  <c r="H635" i="5"/>
  <c r="G635" i="5"/>
  <c r="F635" i="5"/>
  <c r="E635" i="5"/>
  <c r="D635" i="5"/>
  <c r="B635" i="5"/>
  <c r="H634" i="5"/>
  <c r="G634" i="5"/>
  <c r="F634" i="5"/>
  <c r="E634" i="5"/>
  <c r="D634" i="5"/>
  <c r="B634" i="5"/>
  <c r="H633" i="5"/>
  <c r="G633" i="5"/>
  <c r="F633" i="5"/>
  <c r="E633" i="5"/>
  <c r="D633" i="5"/>
  <c r="B633" i="5"/>
  <c r="H632" i="5"/>
  <c r="G632" i="5"/>
  <c r="F632" i="5"/>
  <c r="E632" i="5"/>
  <c r="D632" i="5"/>
  <c r="B632" i="5"/>
  <c r="H631" i="5"/>
  <c r="G631" i="5"/>
  <c r="F631" i="5"/>
  <c r="E631" i="5"/>
  <c r="D631" i="5"/>
  <c r="B631" i="5"/>
  <c r="H630" i="5"/>
  <c r="G630" i="5"/>
  <c r="F630" i="5"/>
  <c r="E630" i="5"/>
  <c r="D630" i="5"/>
  <c r="B630" i="5"/>
  <c r="H629" i="5"/>
  <c r="G629" i="5"/>
  <c r="F629" i="5"/>
  <c r="E629" i="5"/>
  <c r="D629" i="5"/>
  <c r="B629" i="5"/>
  <c r="H628" i="5"/>
  <c r="G628" i="5"/>
  <c r="F628" i="5"/>
  <c r="E628" i="5"/>
  <c r="D628" i="5"/>
  <c r="B628" i="5"/>
  <c r="H627" i="5"/>
  <c r="G627" i="5"/>
  <c r="F627" i="5"/>
  <c r="E627" i="5"/>
  <c r="D627" i="5"/>
  <c r="B627" i="5"/>
  <c r="C627" i="5" s="1"/>
  <c r="H626" i="5"/>
  <c r="G626" i="5"/>
  <c r="F626" i="5"/>
  <c r="E626" i="5"/>
  <c r="D626" i="5"/>
  <c r="B626" i="5"/>
  <c r="H625" i="5"/>
  <c r="G625" i="5"/>
  <c r="F625" i="5"/>
  <c r="E625" i="5"/>
  <c r="D625" i="5"/>
  <c r="B625" i="5"/>
  <c r="H624" i="5"/>
  <c r="G624" i="5"/>
  <c r="F624" i="5"/>
  <c r="E624" i="5"/>
  <c r="D624" i="5"/>
  <c r="B624" i="5"/>
  <c r="H623" i="5"/>
  <c r="G623" i="5"/>
  <c r="F623" i="5"/>
  <c r="E623" i="5"/>
  <c r="D623" i="5"/>
  <c r="B623" i="5"/>
  <c r="H622" i="5"/>
  <c r="G622" i="5"/>
  <c r="F622" i="5"/>
  <c r="E622" i="5"/>
  <c r="D622" i="5"/>
  <c r="B622" i="5"/>
  <c r="H621" i="5"/>
  <c r="G621" i="5"/>
  <c r="F621" i="5"/>
  <c r="E621" i="5"/>
  <c r="D621" i="5"/>
  <c r="B621" i="5"/>
  <c r="H620" i="5"/>
  <c r="G620" i="5"/>
  <c r="F620" i="5"/>
  <c r="E620" i="5"/>
  <c r="D620" i="5"/>
  <c r="B620" i="5"/>
  <c r="H619" i="5"/>
  <c r="G619" i="5"/>
  <c r="F619" i="5"/>
  <c r="E619" i="5"/>
  <c r="D619" i="5"/>
  <c r="B619" i="5"/>
  <c r="H618" i="5"/>
  <c r="G618" i="5"/>
  <c r="F618" i="5"/>
  <c r="E618" i="5"/>
  <c r="D618" i="5"/>
  <c r="B618" i="5"/>
  <c r="H617" i="5"/>
  <c r="G617" i="5"/>
  <c r="F617" i="5"/>
  <c r="E617" i="5"/>
  <c r="D617" i="5"/>
  <c r="B617" i="5"/>
  <c r="H616" i="5"/>
  <c r="G616" i="5"/>
  <c r="F616" i="5"/>
  <c r="E616" i="5"/>
  <c r="D616" i="5"/>
  <c r="B616" i="5"/>
  <c r="H615" i="5"/>
  <c r="G615" i="5"/>
  <c r="F615" i="5"/>
  <c r="E615" i="5"/>
  <c r="D615" i="5"/>
  <c r="B615" i="5"/>
  <c r="H614" i="5"/>
  <c r="G614" i="5"/>
  <c r="F614" i="5"/>
  <c r="E614" i="5"/>
  <c r="D614" i="5"/>
  <c r="B614" i="5"/>
  <c r="H613" i="5"/>
  <c r="G613" i="5"/>
  <c r="F613" i="5"/>
  <c r="E613" i="5"/>
  <c r="D613" i="5"/>
  <c r="B613" i="5"/>
  <c r="H612" i="5"/>
  <c r="G612" i="5"/>
  <c r="F612" i="5"/>
  <c r="E612" i="5"/>
  <c r="D612" i="5"/>
  <c r="B612" i="5"/>
  <c r="H611" i="5"/>
  <c r="G611" i="5"/>
  <c r="F611" i="5"/>
  <c r="E611" i="5"/>
  <c r="D611" i="5"/>
  <c r="B611" i="5"/>
  <c r="C611" i="5" s="1"/>
  <c r="H610" i="5"/>
  <c r="G610" i="5"/>
  <c r="F610" i="5"/>
  <c r="E610" i="5"/>
  <c r="D610" i="5"/>
  <c r="B610" i="5"/>
  <c r="H609" i="5"/>
  <c r="G609" i="5"/>
  <c r="F609" i="5"/>
  <c r="E609" i="5"/>
  <c r="D609" i="5"/>
  <c r="B609" i="5"/>
  <c r="H608" i="5"/>
  <c r="G608" i="5"/>
  <c r="F608" i="5"/>
  <c r="E608" i="5"/>
  <c r="D608" i="5"/>
  <c r="B608" i="5"/>
  <c r="H607" i="5"/>
  <c r="G607" i="5"/>
  <c r="F607" i="5"/>
  <c r="E607" i="5"/>
  <c r="D607" i="5"/>
  <c r="B607" i="5"/>
  <c r="H606" i="5"/>
  <c r="G606" i="5"/>
  <c r="F606" i="5"/>
  <c r="E606" i="5"/>
  <c r="D606" i="5"/>
  <c r="B606" i="5"/>
  <c r="H605" i="5"/>
  <c r="G605" i="5"/>
  <c r="F605" i="5"/>
  <c r="E605" i="5"/>
  <c r="D605" i="5"/>
  <c r="B605" i="5"/>
  <c r="H604" i="5"/>
  <c r="G604" i="5"/>
  <c r="F604" i="5"/>
  <c r="E604" i="5"/>
  <c r="D604" i="5"/>
  <c r="B604" i="5"/>
  <c r="H603" i="5"/>
  <c r="G603" i="5"/>
  <c r="F603" i="5"/>
  <c r="E603" i="5"/>
  <c r="D603" i="5"/>
  <c r="B603" i="5"/>
  <c r="H602" i="5"/>
  <c r="G602" i="5"/>
  <c r="F602" i="5"/>
  <c r="E602" i="5"/>
  <c r="D602" i="5"/>
  <c r="B602" i="5"/>
  <c r="H601" i="5"/>
  <c r="G601" i="5"/>
  <c r="F601" i="5"/>
  <c r="E601" i="5"/>
  <c r="D601" i="5"/>
  <c r="B601" i="5"/>
  <c r="H600" i="5"/>
  <c r="G600" i="5"/>
  <c r="F600" i="5"/>
  <c r="E600" i="5"/>
  <c r="D600" i="5"/>
  <c r="B600" i="5"/>
  <c r="H599" i="5"/>
  <c r="G599" i="5"/>
  <c r="F599" i="5"/>
  <c r="E599" i="5"/>
  <c r="D599" i="5"/>
  <c r="B599" i="5"/>
  <c r="H598" i="5"/>
  <c r="G598" i="5"/>
  <c r="F598" i="5"/>
  <c r="E598" i="5"/>
  <c r="D598" i="5"/>
  <c r="B598" i="5"/>
  <c r="H597" i="5"/>
  <c r="G597" i="5"/>
  <c r="F597" i="5"/>
  <c r="E597" i="5"/>
  <c r="D597" i="5"/>
  <c r="B597" i="5"/>
  <c r="H596" i="5"/>
  <c r="G596" i="5"/>
  <c r="F596" i="5"/>
  <c r="E596" i="5"/>
  <c r="D596" i="5"/>
  <c r="B596" i="5"/>
  <c r="H595" i="5"/>
  <c r="G595" i="5"/>
  <c r="F595" i="5"/>
  <c r="E595" i="5"/>
  <c r="D595" i="5"/>
  <c r="B595" i="5"/>
  <c r="C595" i="5" s="1"/>
  <c r="H594" i="5"/>
  <c r="G594" i="5"/>
  <c r="F594" i="5"/>
  <c r="E594" i="5"/>
  <c r="D594" i="5"/>
  <c r="B594" i="5"/>
  <c r="H593" i="5"/>
  <c r="G593" i="5"/>
  <c r="F593" i="5"/>
  <c r="E593" i="5"/>
  <c r="D593" i="5"/>
  <c r="B593" i="5"/>
  <c r="H592" i="5"/>
  <c r="G592" i="5"/>
  <c r="F592" i="5"/>
  <c r="E592" i="5"/>
  <c r="D592" i="5"/>
  <c r="B592" i="5"/>
  <c r="H591" i="5"/>
  <c r="G591" i="5"/>
  <c r="F591" i="5"/>
  <c r="E591" i="5"/>
  <c r="D591" i="5"/>
  <c r="B591" i="5"/>
  <c r="H590" i="5"/>
  <c r="G590" i="5"/>
  <c r="F590" i="5"/>
  <c r="E590" i="5"/>
  <c r="D590" i="5"/>
  <c r="B590" i="5"/>
  <c r="H589" i="5"/>
  <c r="G589" i="5"/>
  <c r="F589" i="5"/>
  <c r="E589" i="5"/>
  <c r="D589" i="5"/>
  <c r="B589" i="5"/>
  <c r="H588" i="5"/>
  <c r="G588" i="5"/>
  <c r="F588" i="5"/>
  <c r="E588" i="5"/>
  <c r="D588" i="5"/>
  <c r="B588" i="5"/>
  <c r="H587" i="5"/>
  <c r="G587" i="5"/>
  <c r="F587" i="5"/>
  <c r="E587" i="5"/>
  <c r="D587" i="5"/>
  <c r="B587" i="5"/>
  <c r="H586" i="5"/>
  <c r="G586" i="5"/>
  <c r="F586" i="5"/>
  <c r="E586" i="5"/>
  <c r="D586" i="5"/>
  <c r="B586" i="5"/>
  <c r="H585" i="5"/>
  <c r="G585" i="5"/>
  <c r="F585" i="5"/>
  <c r="E585" i="5"/>
  <c r="D585" i="5"/>
  <c r="B585" i="5"/>
  <c r="H584" i="5"/>
  <c r="G584" i="5"/>
  <c r="F584" i="5"/>
  <c r="E584" i="5"/>
  <c r="D584" i="5"/>
  <c r="B584" i="5"/>
  <c r="H583" i="5"/>
  <c r="G583" i="5"/>
  <c r="F583" i="5"/>
  <c r="E583" i="5"/>
  <c r="D583" i="5"/>
  <c r="B583" i="5"/>
  <c r="H582" i="5"/>
  <c r="G582" i="5"/>
  <c r="F582" i="5"/>
  <c r="E582" i="5"/>
  <c r="D582" i="5"/>
  <c r="B582" i="5"/>
  <c r="H581" i="5"/>
  <c r="G581" i="5"/>
  <c r="F581" i="5"/>
  <c r="E581" i="5"/>
  <c r="D581" i="5"/>
  <c r="B581" i="5"/>
  <c r="H580" i="5"/>
  <c r="G580" i="5"/>
  <c r="F580" i="5"/>
  <c r="E580" i="5"/>
  <c r="D580" i="5"/>
  <c r="B580" i="5"/>
  <c r="H579" i="5"/>
  <c r="G579" i="5"/>
  <c r="F579" i="5"/>
  <c r="E579" i="5"/>
  <c r="D579" i="5"/>
  <c r="B579" i="5"/>
  <c r="C579" i="5" s="1"/>
  <c r="H578" i="5"/>
  <c r="G578" i="5"/>
  <c r="F578" i="5"/>
  <c r="E578" i="5"/>
  <c r="D578" i="5"/>
  <c r="B578" i="5"/>
  <c r="H577" i="5"/>
  <c r="G577" i="5"/>
  <c r="F577" i="5"/>
  <c r="E577" i="5"/>
  <c r="D577" i="5"/>
  <c r="B577" i="5"/>
  <c r="H576" i="5"/>
  <c r="G576" i="5"/>
  <c r="F576" i="5"/>
  <c r="E576" i="5"/>
  <c r="D576" i="5"/>
  <c r="B576" i="5"/>
  <c r="H575" i="5"/>
  <c r="G575" i="5"/>
  <c r="F575" i="5"/>
  <c r="E575" i="5"/>
  <c r="D575" i="5"/>
  <c r="B575" i="5"/>
  <c r="H574" i="5"/>
  <c r="G574" i="5"/>
  <c r="F574" i="5"/>
  <c r="E574" i="5"/>
  <c r="D574" i="5"/>
  <c r="B574" i="5"/>
  <c r="H573" i="5"/>
  <c r="G573" i="5"/>
  <c r="F573" i="5"/>
  <c r="E573" i="5"/>
  <c r="D573" i="5"/>
  <c r="B573" i="5"/>
  <c r="H572" i="5"/>
  <c r="G572" i="5"/>
  <c r="F572" i="5"/>
  <c r="E572" i="5"/>
  <c r="D572" i="5"/>
  <c r="B572" i="5"/>
  <c r="H571" i="5"/>
  <c r="G571" i="5"/>
  <c r="F571" i="5"/>
  <c r="E571" i="5"/>
  <c r="D571" i="5"/>
  <c r="B571" i="5"/>
  <c r="H570" i="5"/>
  <c r="G570" i="5"/>
  <c r="F570" i="5"/>
  <c r="E570" i="5"/>
  <c r="D570" i="5"/>
  <c r="B570" i="5"/>
  <c r="H569" i="5"/>
  <c r="G569" i="5"/>
  <c r="F569" i="5"/>
  <c r="E569" i="5"/>
  <c r="D569" i="5"/>
  <c r="B569" i="5"/>
  <c r="H568" i="5"/>
  <c r="G568" i="5"/>
  <c r="F568" i="5"/>
  <c r="E568" i="5"/>
  <c r="D568" i="5"/>
  <c r="B568" i="5"/>
  <c r="H567" i="5"/>
  <c r="G567" i="5"/>
  <c r="F567" i="5"/>
  <c r="E567" i="5"/>
  <c r="D567" i="5"/>
  <c r="B567" i="5"/>
  <c r="H566" i="5"/>
  <c r="G566" i="5"/>
  <c r="F566" i="5"/>
  <c r="E566" i="5"/>
  <c r="D566" i="5"/>
  <c r="B566" i="5"/>
  <c r="H565" i="5"/>
  <c r="G565" i="5"/>
  <c r="F565" i="5"/>
  <c r="E565" i="5"/>
  <c r="D565" i="5"/>
  <c r="B565" i="5"/>
  <c r="H564" i="5"/>
  <c r="G564" i="5"/>
  <c r="F564" i="5"/>
  <c r="E564" i="5"/>
  <c r="D564" i="5"/>
  <c r="B564" i="5"/>
  <c r="H563" i="5"/>
  <c r="G563" i="5"/>
  <c r="F563" i="5"/>
  <c r="E563" i="5"/>
  <c r="D563" i="5"/>
  <c r="B563" i="5"/>
  <c r="C563" i="5" s="1"/>
  <c r="H562" i="5"/>
  <c r="G562" i="5"/>
  <c r="F562" i="5"/>
  <c r="E562" i="5"/>
  <c r="D562" i="5"/>
  <c r="B562" i="5"/>
  <c r="H561" i="5"/>
  <c r="G561" i="5"/>
  <c r="F561" i="5"/>
  <c r="E561" i="5"/>
  <c r="D561" i="5"/>
  <c r="B561" i="5"/>
  <c r="H560" i="5"/>
  <c r="G560" i="5"/>
  <c r="F560" i="5"/>
  <c r="E560" i="5"/>
  <c r="D560" i="5"/>
  <c r="B560" i="5"/>
  <c r="H559" i="5"/>
  <c r="G559" i="5"/>
  <c r="F559" i="5"/>
  <c r="E559" i="5"/>
  <c r="D559" i="5"/>
  <c r="B559" i="5"/>
  <c r="H558" i="5"/>
  <c r="G558" i="5"/>
  <c r="F558" i="5"/>
  <c r="E558" i="5"/>
  <c r="D558" i="5"/>
  <c r="B558" i="5"/>
  <c r="H557" i="5"/>
  <c r="G557" i="5"/>
  <c r="F557" i="5"/>
  <c r="E557" i="5"/>
  <c r="D557" i="5"/>
  <c r="B557" i="5"/>
  <c r="H556" i="5"/>
  <c r="G556" i="5"/>
  <c r="F556" i="5"/>
  <c r="E556" i="5"/>
  <c r="D556" i="5"/>
  <c r="B556" i="5"/>
  <c r="H555" i="5"/>
  <c r="G555" i="5"/>
  <c r="F555" i="5"/>
  <c r="E555" i="5"/>
  <c r="D555" i="5"/>
  <c r="B555" i="5"/>
  <c r="H554" i="5"/>
  <c r="G554" i="5"/>
  <c r="F554" i="5"/>
  <c r="E554" i="5"/>
  <c r="D554" i="5"/>
  <c r="B554" i="5"/>
  <c r="H553" i="5"/>
  <c r="G553" i="5"/>
  <c r="F553" i="5"/>
  <c r="E553" i="5"/>
  <c r="D553" i="5"/>
  <c r="B553" i="5"/>
  <c r="H552" i="5"/>
  <c r="G552" i="5"/>
  <c r="F552" i="5"/>
  <c r="E552" i="5"/>
  <c r="D552" i="5"/>
  <c r="B552" i="5"/>
  <c r="H551" i="5"/>
  <c r="G551" i="5"/>
  <c r="F551" i="5"/>
  <c r="E551" i="5"/>
  <c r="D551" i="5"/>
  <c r="B551" i="5"/>
  <c r="H550" i="5"/>
  <c r="G550" i="5"/>
  <c r="F550" i="5"/>
  <c r="E550" i="5"/>
  <c r="D550" i="5"/>
  <c r="B550" i="5"/>
  <c r="H549" i="5"/>
  <c r="G549" i="5"/>
  <c r="F549" i="5"/>
  <c r="E549" i="5"/>
  <c r="D549" i="5"/>
  <c r="B549" i="5"/>
  <c r="H548" i="5"/>
  <c r="G548" i="5"/>
  <c r="F548" i="5"/>
  <c r="E548" i="5"/>
  <c r="D548" i="5"/>
  <c r="B548" i="5"/>
  <c r="H547" i="5"/>
  <c r="G547" i="5"/>
  <c r="F547" i="5"/>
  <c r="E547" i="5"/>
  <c r="D547" i="5"/>
  <c r="B547" i="5"/>
  <c r="C547" i="5" s="1"/>
  <c r="H546" i="5"/>
  <c r="G546" i="5"/>
  <c r="F546" i="5"/>
  <c r="E546" i="5"/>
  <c r="D546" i="5"/>
  <c r="B546" i="5"/>
  <c r="H545" i="5"/>
  <c r="G545" i="5"/>
  <c r="F545" i="5"/>
  <c r="E545" i="5"/>
  <c r="D545" i="5"/>
  <c r="B545" i="5"/>
  <c r="H544" i="5"/>
  <c r="G544" i="5"/>
  <c r="F544" i="5"/>
  <c r="E544" i="5"/>
  <c r="D544" i="5"/>
  <c r="B544" i="5"/>
  <c r="H543" i="5"/>
  <c r="G543" i="5"/>
  <c r="F543" i="5"/>
  <c r="E543" i="5"/>
  <c r="D543" i="5"/>
  <c r="B543" i="5"/>
  <c r="H542" i="5"/>
  <c r="G542" i="5"/>
  <c r="F542" i="5"/>
  <c r="E542" i="5"/>
  <c r="D542" i="5"/>
  <c r="B542" i="5"/>
  <c r="H541" i="5"/>
  <c r="G541" i="5"/>
  <c r="F541" i="5"/>
  <c r="E541" i="5"/>
  <c r="D541" i="5"/>
  <c r="B541" i="5"/>
  <c r="H540" i="5"/>
  <c r="G540" i="5"/>
  <c r="F540" i="5"/>
  <c r="E540" i="5"/>
  <c r="D540" i="5"/>
  <c r="B540" i="5"/>
  <c r="H539" i="5"/>
  <c r="G539" i="5"/>
  <c r="F539" i="5"/>
  <c r="E539" i="5"/>
  <c r="D539" i="5"/>
  <c r="B539" i="5"/>
  <c r="H538" i="5"/>
  <c r="G538" i="5"/>
  <c r="F538" i="5"/>
  <c r="E538" i="5"/>
  <c r="D538" i="5"/>
  <c r="B538" i="5"/>
  <c r="H537" i="5"/>
  <c r="G537" i="5"/>
  <c r="F537" i="5"/>
  <c r="E537" i="5"/>
  <c r="D537" i="5"/>
  <c r="B537" i="5"/>
  <c r="H536" i="5"/>
  <c r="G536" i="5"/>
  <c r="F536" i="5"/>
  <c r="E536" i="5"/>
  <c r="D536" i="5"/>
  <c r="B536" i="5"/>
  <c r="H535" i="5"/>
  <c r="G535" i="5"/>
  <c r="F535" i="5"/>
  <c r="E535" i="5"/>
  <c r="D535" i="5"/>
  <c r="B535" i="5"/>
  <c r="H534" i="5"/>
  <c r="G534" i="5"/>
  <c r="F534" i="5"/>
  <c r="E534" i="5"/>
  <c r="D534" i="5"/>
  <c r="B534" i="5"/>
  <c r="H533" i="5"/>
  <c r="G533" i="5"/>
  <c r="F533" i="5"/>
  <c r="E533" i="5"/>
  <c r="D533" i="5"/>
  <c r="B533" i="5"/>
  <c r="H532" i="5"/>
  <c r="G532" i="5"/>
  <c r="F532" i="5"/>
  <c r="E532" i="5"/>
  <c r="D532" i="5"/>
  <c r="B532" i="5"/>
  <c r="H531" i="5"/>
  <c r="G531" i="5"/>
  <c r="F531" i="5"/>
  <c r="E531" i="5"/>
  <c r="D531" i="5"/>
  <c r="B531" i="5"/>
  <c r="C531" i="5" s="1"/>
  <c r="H530" i="5"/>
  <c r="G530" i="5"/>
  <c r="F530" i="5"/>
  <c r="E530" i="5"/>
  <c r="D530" i="5"/>
  <c r="H529" i="5"/>
  <c r="G529" i="5"/>
  <c r="F529" i="5"/>
  <c r="E529" i="5"/>
  <c r="D529" i="5"/>
  <c r="H528" i="5"/>
  <c r="G528" i="5"/>
  <c r="F528" i="5"/>
  <c r="E528" i="5"/>
  <c r="D528" i="5"/>
  <c r="H527" i="5"/>
  <c r="G527" i="5"/>
  <c r="F527" i="5"/>
  <c r="E527" i="5"/>
  <c r="D527" i="5"/>
  <c r="H526" i="5"/>
  <c r="G526" i="5"/>
  <c r="F526" i="5"/>
  <c r="E526" i="5"/>
  <c r="D526" i="5"/>
  <c r="H525" i="5"/>
  <c r="G525" i="5"/>
  <c r="F525" i="5"/>
  <c r="E525" i="5"/>
  <c r="D525" i="5"/>
  <c r="H524" i="5"/>
  <c r="G524" i="5"/>
  <c r="F524" i="5"/>
  <c r="E524" i="5"/>
  <c r="D524" i="5"/>
  <c r="H523" i="5"/>
  <c r="G523" i="5"/>
  <c r="F523" i="5"/>
  <c r="E523" i="5"/>
  <c r="D523" i="5"/>
  <c r="H522" i="5"/>
  <c r="G522" i="5"/>
  <c r="F522" i="5"/>
  <c r="E522" i="5"/>
  <c r="D522" i="5"/>
  <c r="H521" i="5"/>
  <c r="G521" i="5"/>
  <c r="F521" i="5"/>
  <c r="E521" i="5"/>
  <c r="D521" i="5"/>
  <c r="H520" i="5"/>
  <c r="G520" i="5"/>
  <c r="F520" i="5"/>
  <c r="E520" i="5"/>
  <c r="D520" i="5"/>
  <c r="H519" i="5"/>
  <c r="G519" i="5"/>
  <c r="F519" i="5"/>
  <c r="E519" i="5"/>
  <c r="D519" i="5"/>
  <c r="H518" i="5"/>
  <c r="G518" i="5"/>
  <c r="F518" i="5"/>
  <c r="E518" i="5"/>
  <c r="D518" i="5"/>
  <c r="H517" i="5"/>
  <c r="G517" i="5"/>
  <c r="F517" i="5"/>
  <c r="E517" i="5"/>
  <c r="D517" i="5"/>
  <c r="H516" i="5"/>
  <c r="G516" i="5"/>
  <c r="F516" i="5"/>
  <c r="E516" i="5"/>
  <c r="D516" i="5"/>
  <c r="H515" i="5"/>
  <c r="G515" i="5"/>
  <c r="F515" i="5"/>
  <c r="E515" i="5"/>
  <c r="D515" i="5"/>
  <c r="H514" i="5"/>
  <c r="G514" i="5"/>
  <c r="F514" i="5"/>
  <c r="E514" i="5"/>
  <c r="D514" i="5"/>
  <c r="H513" i="5"/>
  <c r="G513" i="5"/>
  <c r="F513" i="5"/>
  <c r="E513" i="5"/>
  <c r="D513" i="5"/>
  <c r="H512" i="5"/>
  <c r="G512" i="5"/>
  <c r="F512" i="5"/>
  <c r="E512" i="5"/>
  <c r="D512" i="5"/>
  <c r="H511" i="5"/>
  <c r="G511" i="5"/>
  <c r="F511" i="5"/>
  <c r="E511" i="5"/>
  <c r="D511" i="5"/>
  <c r="H510" i="5"/>
  <c r="G510" i="5"/>
  <c r="F510" i="5"/>
  <c r="E510" i="5"/>
  <c r="D510" i="5"/>
  <c r="H509" i="5"/>
  <c r="G509" i="5"/>
  <c r="F509" i="5"/>
  <c r="E509" i="5"/>
  <c r="D509" i="5"/>
  <c r="H508" i="5"/>
  <c r="G508" i="5"/>
  <c r="F508" i="5"/>
  <c r="E508" i="5"/>
  <c r="D508" i="5"/>
  <c r="H507" i="5"/>
  <c r="G507" i="5"/>
  <c r="F507" i="5"/>
  <c r="E507" i="5"/>
  <c r="D507" i="5"/>
  <c r="H506" i="5"/>
  <c r="G506" i="5"/>
  <c r="F506" i="5"/>
  <c r="E506" i="5"/>
  <c r="D506" i="5"/>
  <c r="H505" i="5"/>
  <c r="G505" i="5"/>
  <c r="F505" i="5"/>
  <c r="E505" i="5"/>
  <c r="D505" i="5"/>
  <c r="H504" i="5"/>
  <c r="G504" i="5"/>
  <c r="F504" i="5"/>
  <c r="E504" i="5"/>
  <c r="D504" i="5"/>
  <c r="H503" i="5"/>
  <c r="G503" i="5"/>
  <c r="F503" i="5"/>
  <c r="E503" i="5"/>
  <c r="D503" i="5"/>
  <c r="H502" i="5"/>
  <c r="G502" i="5"/>
  <c r="F502" i="5"/>
  <c r="E502" i="5"/>
  <c r="D502" i="5"/>
  <c r="H501" i="5"/>
  <c r="G501" i="5"/>
  <c r="F501" i="5"/>
  <c r="E501" i="5"/>
  <c r="D501" i="5"/>
  <c r="H500" i="5"/>
  <c r="G500" i="5"/>
  <c r="F500" i="5"/>
  <c r="E500" i="5"/>
  <c r="D500" i="5"/>
  <c r="H499" i="5"/>
  <c r="G499" i="5"/>
  <c r="F499" i="5"/>
  <c r="E499" i="5"/>
  <c r="D499" i="5"/>
  <c r="H498" i="5"/>
  <c r="G498" i="5"/>
  <c r="F498" i="5"/>
  <c r="E498" i="5"/>
  <c r="D498" i="5"/>
  <c r="H497" i="5"/>
  <c r="G497" i="5"/>
  <c r="F497" i="5"/>
  <c r="E497" i="5"/>
  <c r="D497" i="5"/>
  <c r="H496" i="5"/>
  <c r="G496" i="5"/>
  <c r="F496" i="5"/>
  <c r="E496" i="5"/>
  <c r="D496" i="5"/>
  <c r="H495" i="5"/>
  <c r="G495" i="5"/>
  <c r="F495" i="5"/>
  <c r="E495" i="5"/>
  <c r="D495" i="5"/>
  <c r="H494" i="5"/>
  <c r="G494" i="5"/>
  <c r="F494" i="5"/>
  <c r="E494" i="5"/>
  <c r="D494" i="5"/>
  <c r="H493" i="5"/>
  <c r="G493" i="5"/>
  <c r="F493" i="5"/>
  <c r="E493" i="5"/>
  <c r="D493" i="5"/>
  <c r="H492" i="5"/>
  <c r="G492" i="5"/>
  <c r="F492" i="5"/>
  <c r="E492" i="5"/>
  <c r="D492" i="5"/>
  <c r="H491" i="5"/>
  <c r="G491" i="5"/>
  <c r="F491" i="5"/>
  <c r="E491" i="5"/>
  <c r="D491" i="5"/>
  <c r="H490" i="5"/>
  <c r="G490" i="5"/>
  <c r="F490" i="5"/>
  <c r="E490" i="5"/>
  <c r="D490" i="5"/>
  <c r="H489" i="5"/>
  <c r="G489" i="5"/>
  <c r="F489" i="5"/>
  <c r="E489" i="5"/>
  <c r="D489" i="5"/>
  <c r="H488" i="5"/>
  <c r="G488" i="5"/>
  <c r="F488" i="5"/>
  <c r="E488" i="5"/>
  <c r="D488" i="5"/>
  <c r="H487" i="5"/>
  <c r="G487" i="5"/>
  <c r="F487" i="5"/>
  <c r="E487" i="5"/>
  <c r="D487" i="5"/>
  <c r="H486" i="5"/>
  <c r="G486" i="5"/>
  <c r="F486" i="5"/>
  <c r="E486" i="5"/>
  <c r="D486" i="5"/>
  <c r="H485" i="5"/>
  <c r="G485" i="5"/>
  <c r="F485" i="5"/>
  <c r="E485" i="5"/>
  <c r="D485" i="5"/>
  <c r="H484" i="5"/>
  <c r="G484" i="5"/>
  <c r="F484" i="5"/>
  <c r="E484" i="5"/>
  <c r="D484" i="5"/>
  <c r="H483" i="5"/>
  <c r="G483" i="5"/>
  <c r="F483" i="5"/>
  <c r="E483" i="5"/>
  <c r="D483" i="5"/>
  <c r="H482" i="5"/>
  <c r="G482" i="5"/>
  <c r="F482" i="5"/>
  <c r="E482" i="5"/>
  <c r="D482" i="5"/>
  <c r="H481" i="5"/>
  <c r="G481" i="5"/>
  <c r="F481" i="5"/>
  <c r="E481" i="5"/>
  <c r="D481" i="5"/>
  <c r="H480" i="5"/>
  <c r="G480" i="5"/>
  <c r="F480" i="5"/>
  <c r="E480" i="5"/>
  <c r="D480" i="5"/>
  <c r="H479" i="5"/>
  <c r="G479" i="5"/>
  <c r="F479" i="5"/>
  <c r="E479" i="5"/>
  <c r="D479" i="5"/>
  <c r="H478" i="5"/>
  <c r="G478" i="5"/>
  <c r="F478" i="5"/>
  <c r="E478" i="5"/>
  <c r="D478" i="5"/>
  <c r="H477" i="5"/>
  <c r="G477" i="5"/>
  <c r="F477" i="5"/>
  <c r="E477" i="5"/>
  <c r="D477" i="5"/>
  <c r="H476" i="5"/>
  <c r="G476" i="5"/>
  <c r="F476" i="5"/>
  <c r="E476" i="5"/>
  <c r="D476" i="5"/>
  <c r="H475" i="5"/>
  <c r="G475" i="5"/>
  <c r="F475" i="5"/>
  <c r="E475" i="5"/>
  <c r="D475" i="5"/>
  <c r="H474" i="5"/>
  <c r="G474" i="5"/>
  <c r="F474" i="5"/>
  <c r="E474" i="5"/>
  <c r="D474" i="5"/>
  <c r="H473" i="5"/>
  <c r="G473" i="5"/>
  <c r="F473" i="5"/>
  <c r="E473" i="5"/>
  <c r="D473" i="5"/>
  <c r="H472" i="5"/>
  <c r="G472" i="5"/>
  <c r="F472" i="5"/>
  <c r="E472" i="5"/>
  <c r="D472" i="5"/>
  <c r="H471" i="5"/>
  <c r="G471" i="5"/>
  <c r="F471" i="5"/>
  <c r="E471" i="5"/>
  <c r="D471" i="5"/>
  <c r="H470" i="5"/>
  <c r="G470" i="5"/>
  <c r="F470" i="5"/>
  <c r="E470" i="5"/>
  <c r="D470" i="5"/>
  <c r="H469" i="5"/>
  <c r="G469" i="5"/>
  <c r="F469" i="5"/>
  <c r="E469" i="5"/>
  <c r="D469" i="5"/>
  <c r="H468" i="5"/>
  <c r="G468" i="5"/>
  <c r="F468" i="5"/>
  <c r="E468" i="5"/>
  <c r="D468" i="5"/>
  <c r="H467" i="5"/>
  <c r="G467" i="5"/>
  <c r="F467" i="5"/>
  <c r="E467" i="5"/>
  <c r="D467" i="5"/>
  <c r="H466" i="5"/>
  <c r="G466" i="5"/>
  <c r="F466" i="5"/>
  <c r="E466" i="5"/>
  <c r="D466" i="5"/>
  <c r="H465" i="5"/>
  <c r="G465" i="5"/>
  <c r="F465" i="5"/>
  <c r="E465" i="5"/>
  <c r="D465" i="5"/>
  <c r="H464" i="5"/>
  <c r="G464" i="5"/>
  <c r="F464" i="5"/>
  <c r="E464" i="5"/>
  <c r="D464" i="5"/>
  <c r="H463" i="5"/>
  <c r="G463" i="5"/>
  <c r="F463" i="5"/>
  <c r="E463" i="5"/>
  <c r="D463" i="5"/>
  <c r="H462" i="5"/>
  <c r="G462" i="5"/>
  <c r="F462" i="5"/>
  <c r="E462" i="5"/>
  <c r="D462" i="5"/>
  <c r="H461" i="5"/>
  <c r="G461" i="5"/>
  <c r="F461" i="5"/>
  <c r="E461" i="5"/>
  <c r="D461" i="5"/>
  <c r="H460" i="5"/>
  <c r="G460" i="5"/>
  <c r="F460" i="5"/>
  <c r="E460" i="5"/>
  <c r="D460" i="5"/>
  <c r="H459" i="5"/>
  <c r="G459" i="5"/>
  <c r="F459" i="5"/>
  <c r="E459" i="5"/>
  <c r="D459" i="5"/>
  <c r="H458" i="5"/>
  <c r="G458" i="5"/>
  <c r="F458" i="5"/>
  <c r="E458" i="5"/>
  <c r="D458" i="5"/>
  <c r="H457" i="5"/>
  <c r="G457" i="5"/>
  <c r="F457" i="5"/>
  <c r="E457" i="5"/>
  <c r="D457" i="5"/>
  <c r="H456" i="5"/>
  <c r="G456" i="5"/>
  <c r="F456" i="5"/>
  <c r="E456" i="5"/>
  <c r="D456" i="5"/>
  <c r="H455" i="5"/>
  <c r="G455" i="5"/>
  <c r="F455" i="5"/>
  <c r="E455" i="5"/>
  <c r="D455" i="5"/>
  <c r="H454" i="5"/>
  <c r="G454" i="5"/>
  <c r="F454" i="5"/>
  <c r="E454" i="5"/>
  <c r="D454" i="5"/>
  <c r="H453" i="5"/>
  <c r="G453" i="5"/>
  <c r="F453" i="5"/>
  <c r="E453" i="5"/>
  <c r="D453" i="5"/>
  <c r="H452" i="5"/>
  <c r="G452" i="5"/>
  <c r="F452" i="5"/>
  <c r="E452" i="5"/>
  <c r="D452" i="5"/>
  <c r="H451" i="5"/>
  <c r="G451" i="5"/>
  <c r="F451" i="5"/>
  <c r="E451" i="5"/>
  <c r="D451" i="5"/>
  <c r="H450" i="5"/>
  <c r="G450" i="5"/>
  <c r="F450" i="5"/>
  <c r="E450" i="5"/>
  <c r="D450" i="5"/>
  <c r="H449" i="5"/>
  <c r="G449" i="5"/>
  <c r="F449" i="5"/>
  <c r="E449" i="5"/>
  <c r="D449" i="5"/>
  <c r="H448" i="5"/>
  <c r="G448" i="5"/>
  <c r="F448" i="5"/>
  <c r="E448" i="5"/>
  <c r="D448" i="5"/>
  <c r="H447" i="5"/>
  <c r="G447" i="5"/>
  <c r="F447" i="5"/>
  <c r="E447" i="5"/>
  <c r="D447" i="5"/>
  <c r="H446" i="5"/>
  <c r="G446" i="5"/>
  <c r="F446" i="5"/>
  <c r="E446" i="5"/>
  <c r="D446" i="5"/>
  <c r="H445" i="5"/>
  <c r="G445" i="5"/>
  <c r="F445" i="5"/>
  <c r="E445" i="5"/>
  <c r="D445" i="5"/>
  <c r="H444" i="5"/>
  <c r="G444" i="5"/>
  <c r="F444" i="5"/>
  <c r="E444" i="5"/>
  <c r="D444" i="5"/>
  <c r="H443" i="5"/>
  <c r="G443" i="5"/>
  <c r="F443" i="5"/>
  <c r="E443" i="5"/>
  <c r="D443" i="5"/>
  <c r="H442" i="5"/>
  <c r="G442" i="5"/>
  <c r="F442" i="5"/>
  <c r="E442" i="5"/>
  <c r="D442" i="5"/>
  <c r="H441" i="5"/>
  <c r="G441" i="5"/>
  <c r="F441" i="5"/>
  <c r="E441" i="5"/>
  <c r="D441" i="5"/>
  <c r="H440" i="5"/>
  <c r="G440" i="5"/>
  <c r="F440" i="5"/>
  <c r="E440" i="5"/>
  <c r="D440" i="5"/>
  <c r="H439" i="5"/>
  <c r="G439" i="5"/>
  <c r="F439" i="5"/>
  <c r="E439" i="5"/>
  <c r="D439" i="5"/>
  <c r="H438" i="5"/>
  <c r="G438" i="5"/>
  <c r="F438" i="5"/>
  <c r="E438" i="5"/>
  <c r="D438" i="5"/>
  <c r="H437" i="5"/>
  <c r="G437" i="5"/>
  <c r="F437" i="5"/>
  <c r="E437" i="5"/>
  <c r="D437" i="5"/>
  <c r="H436" i="5"/>
  <c r="G436" i="5"/>
  <c r="F436" i="5"/>
  <c r="E436" i="5"/>
  <c r="D436" i="5"/>
  <c r="H435" i="5"/>
  <c r="G435" i="5"/>
  <c r="F435" i="5"/>
  <c r="E435" i="5"/>
  <c r="D435" i="5"/>
  <c r="H434" i="5"/>
  <c r="G434" i="5"/>
  <c r="F434" i="5"/>
  <c r="E434" i="5"/>
  <c r="D434" i="5"/>
  <c r="H433" i="5"/>
  <c r="G433" i="5"/>
  <c r="F433" i="5"/>
  <c r="E433" i="5"/>
  <c r="D433" i="5"/>
  <c r="H432" i="5"/>
  <c r="G432" i="5"/>
  <c r="F432" i="5"/>
  <c r="E432" i="5"/>
  <c r="D432" i="5"/>
  <c r="H431" i="5"/>
  <c r="G431" i="5"/>
  <c r="F431" i="5"/>
  <c r="E431" i="5"/>
  <c r="D431" i="5"/>
  <c r="H430" i="5"/>
  <c r="G430" i="5"/>
  <c r="F430" i="5"/>
  <c r="E430" i="5"/>
  <c r="D430" i="5"/>
  <c r="H429" i="5"/>
  <c r="G429" i="5"/>
  <c r="F429" i="5"/>
  <c r="E429" i="5"/>
  <c r="D429" i="5"/>
  <c r="H428" i="5"/>
  <c r="G428" i="5"/>
  <c r="F428" i="5"/>
  <c r="E428" i="5"/>
  <c r="D428" i="5"/>
  <c r="H427" i="5"/>
  <c r="G427" i="5"/>
  <c r="F427" i="5"/>
  <c r="E427" i="5"/>
  <c r="D427" i="5"/>
  <c r="H426" i="5"/>
  <c r="G426" i="5"/>
  <c r="F426" i="5"/>
  <c r="E426" i="5"/>
  <c r="D426" i="5"/>
  <c r="H425" i="5"/>
  <c r="G425" i="5"/>
  <c r="F425" i="5"/>
  <c r="E425" i="5"/>
  <c r="D425" i="5"/>
  <c r="H424" i="5"/>
  <c r="G424" i="5"/>
  <c r="F424" i="5"/>
  <c r="E424" i="5"/>
  <c r="D424" i="5"/>
  <c r="H423" i="5"/>
  <c r="G423" i="5"/>
  <c r="F423" i="5"/>
  <c r="E423" i="5"/>
  <c r="D423" i="5"/>
  <c r="H422" i="5"/>
  <c r="G422" i="5"/>
  <c r="F422" i="5"/>
  <c r="E422" i="5"/>
  <c r="D422" i="5"/>
  <c r="H421" i="5"/>
  <c r="G421" i="5"/>
  <c r="F421" i="5"/>
  <c r="E421" i="5"/>
  <c r="D421" i="5"/>
  <c r="H420" i="5"/>
  <c r="G420" i="5"/>
  <c r="F420" i="5"/>
  <c r="E420" i="5"/>
  <c r="D420" i="5"/>
  <c r="H419" i="5"/>
  <c r="G419" i="5"/>
  <c r="F419" i="5"/>
  <c r="E419" i="5"/>
  <c r="D419" i="5"/>
  <c r="H418" i="5"/>
  <c r="G418" i="5"/>
  <c r="F418" i="5"/>
  <c r="E418" i="5"/>
  <c r="D418" i="5"/>
  <c r="H417" i="5"/>
  <c r="G417" i="5"/>
  <c r="F417" i="5"/>
  <c r="E417" i="5"/>
  <c r="D417" i="5"/>
  <c r="H416" i="5"/>
  <c r="G416" i="5"/>
  <c r="F416" i="5"/>
  <c r="E416" i="5"/>
  <c r="D416" i="5"/>
  <c r="H415" i="5"/>
  <c r="G415" i="5"/>
  <c r="F415" i="5"/>
  <c r="E415" i="5"/>
  <c r="D415" i="5"/>
  <c r="H414" i="5"/>
  <c r="G414" i="5"/>
  <c r="F414" i="5"/>
  <c r="E414" i="5"/>
  <c r="D414" i="5"/>
  <c r="H413" i="5"/>
  <c r="G413" i="5"/>
  <c r="F413" i="5"/>
  <c r="E413" i="5"/>
  <c r="D413" i="5"/>
  <c r="H412" i="5"/>
  <c r="G412" i="5"/>
  <c r="F412" i="5"/>
  <c r="E412" i="5"/>
  <c r="D412" i="5"/>
  <c r="H411" i="5"/>
  <c r="G411" i="5"/>
  <c r="F411" i="5"/>
  <c r="E411" i="5"/>
  <c r="D411" i="5"/>
  <c r="H410" i="5"/>
  <c r="G410" i="5"/>
  <c r="F410" i="5"/>
  <c r="E410" i="5"/>
  <c r="D410" i="5"/>
  <c r="H409" i="5"/>
  <c r="G409" i="5"/>
  <c r="F409" i="5"/>
  <c r="E409" i="5"/>
  <c r="D409" i="5"/>
  <c r="H408" i="5"/>
  <c r="G408" i="5"/>
  <c r="F408" i="5"/>
  <c r="E408" i="5"/>
  <c r="D408" i="5"/>
  <c r="H407" i="5"/>
  <c r="G407" i="5"/>
  <c r="F407" i="5"/>
  <c r="E407" i="5"/>
  <c r="D407" i="5"/>
  <c r="H406" i="5"/>
  <c r="G406" i="5"/>
  <c r="F406" i="5"/>
  <c r="E406" i="5"/>
  <c r="D406" i="5"/>
  <c r="H405" i="5"/>
  <c r="G405" i="5"/>
  <c r="F405" i="5"/>
  <c r="E405" i="5"/>
  <c r="D405" i="5"/>
  <c r="H404" i="5"/>
  <c r="G404" i="5"/>
  <c r="F404" i="5"/>
  <c r="E404" i="5"/>
  <c r="D404" i="5"/>
  <c r="H403" i="5"/>
  <c r="G403" i="5"/>
  <c r="F403" i="5"/>
  <c r="E403" i="5"/>
  <c r="D403" i="5"/>
  <c r="H402" i="5"/>
  <c r="G402" i="5"/>
  <c r="F402" i="5"/>
  <c r="E402" i="5"/>
  <c r="D402" i="5"/>
  <c r="H401" i="5"/>
  <c r="G401" i="5"/>
  <c r="F401" i="5"/>
  <c r="E401" i="5"/>
  <c r="D401" i="5"/>
  <c r="H400" i="5"/>
  <c r="G400" i="5"/>
  <c r="F400" i="5"/>
  <c r="E400" i="5"/>
  <c r="D400" i="5"/>
  <c r="H399" i="5"/>
  <c r="G399" i="5"/>
  <c r="F399" i="5"/>
  <c r="E399" i="5"/>
  <c r="D399" i="5"/>
  <c r="H398" i="5"/>
  <c r="G398" i="5"/>
  <c r="F398" i="5"/>
  <c r="E398" i="5"/>
  <c r="D398" i="5"/>
  <c r="H397" i="5"/>
  <c r="G397" i="5"/>
  <c r="F397" i="5"/>
  <c r="E397" i="5"/>
  <c r="D397" i="5"/>
  <c r="H396" i="5"/>
  <c r="G396" i="5"/>
  <c r="F396" i="5"/>
  <c r="E396" i="5"/>
  <c r="D396" i="5"/>
  <c r="H395" i="5"/>
  <c r="G395" i="5"/>
  <c r="F395" i="5"/>
  <c r="E395" i="5"/>
  <c r="D395" i="5"/>
  <c r="H394" i="5"/>
  <c r="G394" i="5"/>
  <c r="F394" i="5"/>
  <c r="E394" i="5"/>
  <c r="D394" i="5"/>
  <c r="H393" i="5"/>
  <c r="G393" i="5"/>
  <c r="F393" i="5"/>
  <c r="E393" i="5"/>
  <c r="D393" i="5"/>
  <c r="H392" i="5"/>
  <c r="G392" i="5"/>
  <c r="F392" i="5"/>
  <c r="E392" i="5"/>
  <c r="D392" i="5"/>
  <c r="H391" i="5"/>
  <c r="G391" i="5"/>
  <c r="F391" i="5"/>
  <c r="E391" i="5"/>
  <c r="D391" i="5"/>
  <c r="H390" i="5"/>
  <c r="G390" i="5"/>
  <c r="F390" i="5"/>
  <c r="E390" i="5"/>
  <c r="D390" i="5"/>
  <c r="H389" i="5"/>
  <c r="G389" i="5"/>
  <c r="F389" i="5"/>
  <c r="E389" i="5"/>
  <c r="D389" i="5"/>
  <c r="H388" i="5"/>
  <c r="G388" i="5"/>
  <c r="F388" i="5"/>
  <c r="E388" i="5"/>
  <c r="D388" i="5"/>
  <c r="H387" i="5"/>
  <c r="G387" i="5"/>
  <c r="F387" i="5"/>
  <c r="E387" i="5"/>
  <c r="D387" i="5"/>
  <c r="H386" i="5"/>
  <c r="G386" i="5"/>
  <c r="F386" i="5"/>
  <c r="E386" i="5"/>
  <c r="D386" i="5"/>
  <c r="H385" i="5"/>
  <c r="G385" i="5"/>
  <c r="F385" i="5"/>
  <c r="E385" i="5"/>
  <c r="D385" i="5"/>
  <c r="H384" i="5"/>
  <c r="G384" i="5"/>
  <c r="F384" i="5"/>
  <c r="E384" i="5"/>
  <c r="D384" i="5"/>
  <c r="H383" i="5"/>
  <c r="G383" i="5"/>
  <c r="F383" i="5"/>
  <c r="E383" i="5"/>
  <c r="D383" i="5"/>
  <c r="H382" i="5"/>
  <c r="G382" i="5"/>
  <c r="F382" i="5"/>
  <c r="E382" i="5"/>
  <c r="D382" i="5"/>
  <c r="H381" i="5"/>
  <c r="G381" i="5"/>
  <c r="F381" i="5"/>
  <c r="E381" i="5"/>
  <c r="D381" i="5"/>
  <c r="H380" i="5"/>
  <c r="G380" i="5"/>
  <c r="F380" i="5"/>
  <c r="E380" i="5"/>
  <c r="D380" i="5"/>
  <c r="H379" i="5"/>
  <c r="G379" i="5"/>
  <c r="F379" i="5"/>
  <c r="E379" i="5"/>
  <c r="D379" i="5"/>
  <c r="H378" i="5"/>
  <c r="G378" i="5"/>
  <c r="F378" i="5"/>
  <c r="E378" i="5"/>
  <c r="D378" i="5"/>
  <c r="H377" i="5"/>
  <c r="G377" i="5"/>
  <c r="F377" i="5"/>
  <c r="E377" i="5"/>
  <c r="D377" i="5"/>
  <c r="H376" i="5"/>
  <c r="G376" i="5"/>
  <c r="F376" i="5"/>
  <c r="E376" i="5"/>
  <c r="D376" i="5"/>
  <c r="H375" i="5"/>
  <c r="G375" i="5"/>
  <c r="F375" i="5"/>
  <c r="E375" i="5"/>
  <c r="D375" i="5"/>
  <c r="H374" i="5"/>
  <c r="G374" i="5"/>
  <c r="F374" i="5"/>
  <c r="E374" i="5"/>
  <c r="D374" i="5"/>
  <c r="H373" i="5"/>
  <c r="G373" i="5"/>
  <c r="F373" i="5"/>
  <c r="E373" i="5"/>
  <c r="D373" i="5"/>
  <c r="H372" i="5"/>
  <c r="G372" i="5"/>
  <c r="F372" i="5"/>
  <c r="E372" i="5"/>
  <c r="D372" i="5"/>
  <c r="H371" i="5"/>
  <c r="G371" i="5"/>
  <c r="F371" i="5"/>
  <c r="E371" i="5"/>
  <c r="D371" i="5"/>
  <c r="H370" i="5"/>
  <c r="G370" i="5"/>
  <c r="F370" i="5"/>
  <c r="E370" i="5"/>
  <c r="D370" i="5"/>
  <c r="H369" i="5"/>
  <c r="G369" i="5"/>
  <c r="F369" i="5"/>
  <c r="E369" i="5"/>
  <c r="D369" i="5"/>
  <c r="H368" i="5"/>
  <c r="G368" i="5"/>
  <c r="F368" i="5"/>
  <c r="E368" i="5"/>
  <c r="D368" i="5"/>
  <c r="H367" i="5"/>
  <c r="G367" i="5"/>
  <c r="F367" i="5"/>
  <c r="E367" i="5"/>
  <c r="D367" i="5"/>
  <c r="H366" i="5"/>
  <c r="G366" i="5"/>
  <c r="F366" i="5"/>
  <c r="E366" i="5"/>
  <c r="D366" i="5"/>
  <c r="H365" i="5"/>
  <c r="G365" i="5"/>
  <c r="F365" i="5"/>
  <c r="E365" i="5"/>
  <c r="D365" i="5"/>
  <c r="H364" i="5"/>
  <c r="G364" i="5"/>
  <c r="F364" i="5"/>
  <c r="E364" i="5"/>
  <c r="D364" i="5"/>
  <c r="H363" i="5"/>
  <c r="G363" i="5"/>
  <c r="F363" i="5"/>
  <c r="E363" i="5"/>
  <c r="D363" i="5"/>
  <c r="H362" i="5"/>
  <c r="G362" i="5"/>
  <c r="F362" i="5"/>
  <c r="E362" i="5"/>
  <c r="D362" i="5"/>
  <c r="H361" i="5"/>
  <c r="G361" i="5"/>
  <c r="F361" i="5"/>
  <c r="E361" i="5"/>
  <c r="D361" i="5"/>
  <c r="H360" i="5"/>
  <c r="G360" i="5"/>
  <c r="F360" i="5"/>
  <c r="E360" i="5"/>
  <c r="D360" i="5"/>
  <c r="H359" i="5"/>
  <c r="G359" i="5"/>
  <c r="F359" i="5"/>
  <c r="E359" i="5"/>
  <c r="D359" i="5"/>
  <c r="H358" i="5"/>
  <c r="G358" i="5"/>
  <c r="F358" i="5"/>
  <c r="E358" i="5"/>
  <c r="D358" i="5"/>
  <c r="H357" i="5"/>
  <c r="G357" i="5"/>
  <c r="F357" i="5"/>
  <c r="E357" i="5"/>
  <c r="D357" i="5"/>
  <c r="H356" i="5"/>
  <c r="G356" i="5"/>
  <c r="F356" i="5"/>
  <c r="E356" i="5"/>
  <c r="D356" i="5"/>
  <c r="H355" i="5"/>
  <c r="G355" i="5"/>
  <c r="F355" i="5"/>
  <c r="E355" i="5"/>
  <c r="D355" i="5"/>
  <c r="H354" i="5"/>
  <c r="G354" i="5"/>
  <c r="F354" i="5"/>
  <c r="E354" i="5"/>
  <c r="D354" i="5"/>
  <c r="H353" i="5"/>
  <c r="G353" i="5"/>
  <c r="F353" i="5"/>
  <c r="E353" i="5"/>
  <c r="D353" i="5"/>
  <c r="H352" i="5"/>
  <c r="G352" i="5"/>
  <c r="F352" i="5"/>
  <c r="E352" i="5"/>
  <c r="D352" i="5"/>
  <c r="H351" i="5"/>
  <c r="G351" i="5"/>
  <c r="F351" i="5"/>
  <c r="E351" i="5"/>
  <c r="D351" i="5"/>
  <c r="H350" i="5"/>
  <c r="G350" i="5"/>
  <c r="F350" i="5"/>
  <c r="E350" i="5"/>
  <c r="D350" i="5"/>
  <c r="H349" i="5"/>
  <c r="G349" i="5"/>
  <c r="F349" i="5"/>
  <c r="E349" i="5"/>
  <c r="D349" i="5"/>
  <c r="H348" i="5"/>
  <c r="G348" i="5"/>
  <c r="F348" i="5"/>
  <c r="E348" i="5"/>
  <c r="D348" i="5"/>
  <c r="H347" i="5"/>
  <c r="G347" i="5"/>
  <c r="F347" i="5"/>
  <c r="E347" i="5"/>
  <c r="D347" i="5"/>
  <c r="H346" i="5"/>
  <c r="G346" i="5"/>
  <c r="F346" i="5"/>
  <c r="E346" i="5"/>
  <c r="D346" i="5"/>
  <c r="H345" i="5"/>
  <c r="G345" i="5"/>
  <c r="F345" i="5"/>
  <c r="E345" i="5"/>
  <c r="D345" i="5"/>
  <c r="H344" i="5"/>
  <c r="G344" i="5"/>
  <c r="F344" i="5"/>
  <c r="E344" i="5"/>
  <c r="D344" i="5"/>
  <c r="H343" i="5"/>
  <c r="G343" i="5"/>
  <c r="F343" i="5"/>
  <c r="E343" i="5"/>
  <c r="D343" i="5"/>
  <c r="H342" i="5"/>
  <c r="G342" i="5"/>
  <c r="F342" i="5"/>
  <c r="E342" i="5"/>
  <c r="D342" i="5"/>
  <c r="H341" i="5"/>
  <c r="G341" i="5"/>
  <c r="F341" i="5"/>
  <c r="E341" i="5"/>
  <c r="D341" i="5"/>
  <c r="H340" i="5"/>
  <c r="G340" i="5"/>
  <c r="F340" i="5"/>
  <c r="E340" i="5"/>
  <c r="D340" i="5"/>
  <c r="H339" i="5"/>
  <c r="G339" i="5"/>
  <c r="F339" i="5"/>
  <c r="E339" i="5"/>
  <c r="D339" i="5"/>
  <c r="H338" i="5"/>
  <c r="G338" i="5"/>
  <c r="F338" i="5"/>
  <c r="E338" i="5"/>
  <c r="D338" i="5"/>
  <c r="H337" i="5"/>
  <c r="G337" i="5"/>
  <c r="F337" i="5"/>
  <c r="E337" i="5"/>
  <c r="D337" i="5"/>
  <c r="H336" i="5"/>
  <c r="G336" i="5"/>
  <c r="F336" i="5"/>
  <c r="E336" i="5"/>
  <c r="D336" i="5"/>
  <c r="H335" i="5"/>
  <c r="G335" i="5"/>
  <c r="F335" i="5"/>
  <c r="E335" i="5"/>
  <c r="D335" i="5"/>
  <c r="H334" i="5"/>
  <c r="G334" i="5"/>
  <c r="F334" i="5"/>
  <c r="E334" i="5"/>
  <c r="D334" i="5"/>
  <c r="H333" i="5"/>
  <c r="G333" i="5"/>
  <c r="F333" i="5"/>
  <c r="E333" i="5"/>
  <c r="D333" i="5"/>
  <c r="H332" i="5"/>
  <c r="G332" i="5"/>
  <c r="F332" i="5"/>
  <c r="E332" i="5"/>
  <c r="D332" i="5"/>
  <c r="H331" i="5"/>
  <c r="G331" i="5"/>
  <c r="F331" i="5"/>
  <c r="E331" i="5"/>
  <c r="D331" i="5"/>
  <c r="H330" i="5"/>
  <c r="G330" i="5"/>
  <c r="F330" i="5"/>
  <c r="E330" i="5"/>
  <c r="D330" i="5"/>
  <c r="H329" i="5"/>
  <c r="G329" i="5"/>
  <c r="F329" i="5"/>
  <c r="E329" i="5"/>
  <c r="D329" i="5"/>
  <c r="H328" i="5"/>
  <c r="G328" i="5"/>
  <c r="F328" i="5"/>
  <c r="E328" i="5"/>
  <c r="D328" i="5"/>
  <c r="H327" i="5"/>
  <c r="G327" i="5"/>
  <c r="F327" i="5"/>
  <c r="E327" i="5"/>
  <c r="D327" i="5"/>
  <c r="H326" i="5"/>
  <c r="G326" i="5"/>
  <c r="F326" i="5"/>
  <c r="E326" i="5"/>
  <c r="D326" i="5"/>
  <c r="H325" i="5"/>
  <c r="G325" i="5"/>
  <c r="F325" i="5"/>
  <c r="E325" i="5"/>
  <c r="D325" i="5"/>
  <c r="H324" i="5"/>
  <c r="G324" i="5"/>
  <c r="F324" i="5"/>
  <c r="E324" i="5"/>
  <c r="D324" i="5"/>
  <c r="H323" i="5"/>
  <c r="G323" i="5"/>
  <c r="F323" i="5"/>
  <c r="E323" i="5"/>
  <c r="D323" i="5"/>
  <c r="H322" i="5"/>
  <c r="G322" i="5"/>
  <c r="F322" i="5"/>
  <c r="E322" i="5"/>
  <c r="D322" i="5"/>
  <c r="H321" i="5"/>
  <c r="G321" i="5"/>
  <c r="F321" i="5"/>
  <c r="E321" i="5"/>
  <c r="D321" i="5"/>
  <c r="H320" i="5"/>
  <c r="G320" i="5"/>
  <c r="F320" i="5"/>
  <c r="E320" i="5"/>
  <c r="D320" i="5"/>
  <c r="H319" i="5"/>
  <c r="G319" i="5"/>
  <c r="F319" i="5"/>
  <c r="E319" i="5"/>
  <c r="D319" i="5"/>
  <c r="H318" i="5"/>
  <c r="G318" i="5"/>
  <c r="F318" i="5"/>
  <c r="E318" i="5"/>
  <c r="D318" i="5"/>
  <c r="H317" i="5"/>
  <c r="G317" i="5"/>
  <c r="F317" i="5"/>
  <c r="E317" i="5"/>
  <c r="D317" i="5"/>
  <c r="H316" i="5"/>
  <c r="G316" i="5"/>
  <c r="F316" i="5"/>
  <c r="E316" i="5"/>
  <c r="D316" i="5"/>
  <c r="H315" i="5"/>
  <c r="G315" i="5"/>
  <c r="F315" i="5"/>
  <c r="E315" i="5"/>
  <c r="D315" i="5"/>
  <c r="H314" i="5"/>
  <c r="G314" i="5"/>
  <c r="F314" i="5"/>
  <c r="E314" i="5"/>
  <c r="D314" i="5"/>
  <c r="H313" i="5"/>
  <c r="G313" i="5"/>
  <c r="F313" i="5"/>
  <c r="E313" i="5"/>
  <c r="D313" i="5"/>
  <c r="H312" i="5"/>
  <c r="G312" i="5"/>
  <c r="F312" i="5"/>
  <c r="E312" i="5"/>
  <c r="D312" i="5"/>
  <c r="H311" i="5"/>
  <c r="G311" i="5"/>
  <c r="F311" i="5"/>
  <c r="E311" i="5"/>
  <c r="D311" i="5"/>
  <c r="H310" i="5"/>
  <c r="G310" i="5"/>
  <c r="F310" i="5"/>
  <c r="E310" i="5"/>
  <c r="D310" i="5"/>
  <c r="H309" i="5"/>
  <c r="G309" i="5"/>
  <c r="F309" i="5"/>
  <c r="E309" i="5"/>
  <c r="D309" i="5"/>
  <c r="H308" i="5"/>
  <c r="G308" i="5"/>
  <c r="F308" i="5"/>
  <c r="E308" i="5"/>
  <c r="D308" i="5"/>
  <c r="H307" i="5"/>
  <c r="G307" i="5"/>
  <c r="F307" i="5"/>
  <c r="E307" i="5"/>
  <c r="D307" i="5"/>
  <c r="H306" i="5"/>
  <c r="G306" i="5"/>
  <c r="F306" i="5"/>
  <c r="E306" i="5"/>
  <c r="D306" i="5"/>
  <c r="H305" i="5"/>
  <c r="G305" i="5"/>
  <c r="F305" i="5"/>
  <c r="E305" i="5"/>
  <c r="D305" i="5"/>
  <c r="H304" i="5"/>
  <c r="G304" i="5"/>
  <c r="F304" i="5"/>
  <c r="E304" i="5"/>
  <c r="D304" i="5"/>
  <c r="H303" i="5"/>
  <c r="G303" i="5"/>
  <c r="F303" i="5"/>
  <c r="E303" i="5"/>
  <c r="D303" i="5"/>
  <c r="H302" i="5"/>
  <c r="G302" i="5"/>
  <c r="F302" i="5"/>
  <c r="E302" i="5"/>
  <c r="D302" i="5"/>
  <c r="H301" i="5"/>
  <c r="G301" i="5"/>
  <c r="F301" i="5"/>
  <c r="E301" i="5"/>
  <c r="D301" i="5"/>
  <c r="H300" i="5"/>
  <c r="G300" i="5"/>
  <c r="F300" i="5"/>
  <c r="E300" i="5"/>
  <c r="D300" i="5"/>
  <c r="H299" i="5"/>
  <c r="G299" i="5"/>
  <c r="F299" i="5"/>
  <c r="E299" i="5"/>
  <c r="D299" i="5"/>
  <c r="H298" i="5"/>
  <c r="G298" i="5"/>
  <c r="F298" i="5"/>
  <c r="E298" i="5"/>
  <c r="D298" i="5"/>
  <c r="H297" i="5"/>
  <c r="G297" i="5"/>
  <c r="F297" i="5"/>
  <c r="E297" i="5"/>
  <c r="D297" i="5"/>
  <c r="H296" i="5"/>
  <c r="G296" i="5"/>
  <c r="F296" i="5"/>
  <c r="E296" i="5"/>
  <c r="D296" i="5"/>
  <c r="H295" i="5"/>
  <c r="G295" i="5"/>
  <c r="F295" i="5"/>
  <c r="E295" i="5"/>
  <c r="D295" i="5"/>
  <c r="H294" i="5"/>
  <c r="G294" i="5"/>
  <c r="F294" i="5"/>
  <c r="E294" i="5"/>
  <c r="D294" i="5"/>
  <c r="F293" i="5"/>
  <c r="E293" i="5"/>
  <c r="D293" i="5"/>
  <c r="H292" i="5"/>
  <c r="G292" i="5"/>
  <c r="F292" i="5"/>
  <c r="E292" i="5"/>
  <c r="D292" i="5"/>
  <c r="H291" i="5"/>
  <c r="G291" i="5"/>
  <c r="F291" i="5"/>
  <c r="E291" i="5"/>
  <c r="D291" i="5"/>
  <c r="H290" i="5"/>
  <c r="G290" i="5"/>
  <c r="F290" i="5"/>
  <c r="E290" i="5"/>
  <c r="D290" i="5"/>
  <c r="H289" i="5"/>
  <c r="G289" i="5"/>
  <c r="F289" i="5"/>
  <c r="E289" i="5"/>
  <c r="D289" i="5"/>
  <c r="H288" i="5"/>
  <c r="G288" i="5"/>
  <c r="F288" i="5"/>
  <c r="E288" i="5"/>
  <c r="D288" i="5"/>
  <c r="H287" i="5"/>
  <c r="G287" i="5"/>
  <c r="F287" i="5"/>
  <c r="E287" i="5"/>
  <c r="D287" i="5"/>
  <c r="H286" i="5"/>
  <c r="G286" i="5"/>
  <c r="F286" i="5"/>
  <c r="E286" i="5"/>
  <c r="D286" i="5"/>
  <c r="H285" i="5"/>
  <c r="G285" i="5"/>
  <c r="F285" i="5"/>
  <c r="E285" i="5"/>
  <c r="D285" i="5"/>
  <c r="H284" i="5"/>
  <c r="G284" i="5"/>
  <c r="F284" i="5"/>
  <c r="E284" i="5"/>
  <c r="D284" i="5"/>
  <c r="H283" i="5"/>
  <c r="G283" i="5"/>
  <c r="F283" i="5"/>
  <c r="E283" i="5"/>
  <c r="D283" i="5"/>
  <c r="H282" i="5"/>
  <c r="G282" i="5"/>
  <c r="F282" i="5"/>
  <c r="E282" i="5"/>
  <c r="D282" i="5"/>
  <c r="H281" i="5"/>
  <c r="G281" i="5"/>
  <c r="F281" i="5"/>
  <c r="E281" i="5"/>
  <c r="D281" i="5"/>
  <c r="H280" i="5"/>
  <c r="G280" i="5"/>
  <c r="F280" i="5"/>
  <c r="E280" i="5"/>
  <c r="D280" i="5"/>
  <c r="H279" i="5"/>
  <c r="G279" i="5"/>
  <c r="F279" i="5"/>
  <c r="E279" i="5"/>
  <c r="D279" i="5"/>
  <c r="H278" i="5"/>
  <c r="G278" i="5"/>
  <c r="F278" i="5"/>
  <c r="E278" i="5"/>
  <c r="D278" i="5"/>
  <c r="H277" i="5"/>
  <c r="G277" i="5"/>
  <c r="F277" i="5"/>
  <c r="E277" i="5"/>
  <c r="D277" i="5"/>
  <c r="H276" i="5"/>
  <c r="G276" i="5"/>
  <c r="F276" i="5"/>
  <c r="E276" i="5"/>
  <c r="D276" i="5"/>
  <c r="H275" i="5"/>
  <c r="G275" i="5"/>
  <c r="F275" i="5"/>
  <c r="E275" i="5"/>
  <c r="D275" i="5"/>
  <c r="H274" i="5"/>
  <c r="G274" i="5"/>
  <c r="F274" i="5"/>
  <c r="E274" i="5"/>
  <c r="D274" i="5"/>
  <c r="H273" i="5"/>
  <c r="G273" i="5"/>
  <c r="F273" i="5"/>
  <c r="E273" i="5"/>
  <c r="D273" i="5"/>
  <c r="H272" i="5"/>
  <c r="G272" i="5"/>
  <c r="F272" i="5"/>
  <c r="E272" i="5"/>
  <c r="D272" i="5"/>
  <c r="H271" i="5"/>
  <c r="G271" i="5"/>
  <c r="F271" i="5"/>
  <c r="E271" i="5"/>
  <c r="D271" i="5"/>
  <c r="H270" i="5"/>
  <c r="G270" i="5"/>
  <c r="F270" i="5"/>
  <c r="E270" i="5"/>
  <c r="D270" i="5"/>
  <c r="H269" i="5"/>
  <c r="G269" i="5"/>
  <c r="F269" i="5"/>
  <c r="E269" i="5"/>
  <c r="D269" i="5"/>
  <c r="H268" i="5"/>
  <c r="G268" i="5"/>
  <c r="F268" i="5"/>
  <c r="E268" i="5"/>
  <c r="D268" i="5"/>
  <c r="H267" i="5"/>
  <c r="G267" i="5"/>
  <c r="F267" i="5"/>
  <c r="E267" i="5"/>
  <c r="D267" i="5"/>
  <c r="H266" i="5"/>
  <c r="G266" i="5"/>
  <c r="F266" i="5"/>
  <c r="E266" i="5"/>
  <c r="D266" i="5"/>
  <c r="H265" i="5"/>
  <c r="G265" i="5"/>
  <c r="F265" i="5"/>
  <c r="E265" i="5"/>
  <c r="D265" i="5"/>
  <c r="H264" i="5"/>
  <c r="G264" i="5"/>
  <c r="F264" i="5"/>
  <c r="E264" i="5"/>
  <c r="D264" i="5"/>
  <c r="H263" i="5"/>
  <c r="G263" i="5"/>
  <c r="F263" i="5"/>
  <c r="E263" i="5"/>
  <c r="D263" i="5"/>
  <c r="H262" i="5"/>
  <c r="G262" i="5"/>
  <c r="F262" i="5"/>
  <c r="E262" i="5"/>
  <c r="D262" i="5"/>
  <c r="H261" i="5"/>
  <c r="G261" i="5"/>
  <c r="F261" i="5"/>
  <c r="E261" i="5"/>
  <c r="D261" i="5"/>
  <c r="H260" i="5"/>
  <c r="G260" i="5"/>
  <c r="F260" i="5"/>
  <c r="E260" i="5"/>
  <c r="D260" i="5"/>
  <c r="H259" i="5"/>
  <c r="G259" i="5"/>
  <c r="F259" i="5"/>
  <c r="E259" i="5"/>
  <c r="D259" i="5"/>
  <c r="H258" i="5"/>
  <c r="G258" i="5"/>
  <c r="F258" i="5"/>
  <c r="E258" i="5"/>
  <c r="D258" i="5"/>
  <c r="H257" i="5"/>
  <c r="G257" i="5"/>
  <c r="F257" i="5"/>
  <c r="E257" i="5"/>
  <c r="D257" i="5"/>
  <c r="H256" i="5"/>
  <c r="G256" i="5"/>
  <c r="F256" i="5"/>
  <c r="E256" i="5"/>
  <c r="D256" i="5"/>
  <c r="H255" i="5"/>
  <c r="G255" i="5"/>
  <c r="F255" i="5"/>
  <c r="E255" i="5"/>
  <c r="D255" i="5"/>
  <c r="H254" i="5"/>
  <c r="G254" i="5"/>
  <c r="F254" i="5"/>
  <c r="E254" i="5"/>
  <c r="D254" i="5"/>
  <c r="H253" i="5"/>
  <c r="G253" i="5"/>
  <c r="F253" i="5"/>
  <c r="E253" i="5"/>
  <c r="D253" i="5"/>
  <c r="H252" i="5"/>
  <c r="G252" i="5"/>
  <c r="F252" i="5"/>
  <c r="E252" i="5"/>
  <c r="D252" i="5"/>
  <c r="H251" i="5"/>
  <c r="G251" i="5"/>
  <c r="F251" i="5"/>
  <c r="E251" i="5"/>
  <c r="D251" i="5"/>
  <c r="H250" i="5"/>
  <c r="G250" i="5"/>
  <c r="F250" i="5"/>
  <c r="E250" i="5"/>
  <c r="D250" i="5"/>
  <c r="H249" i="5"/>
  <c r="G249" i="5"/>
  <c r="F249" i="5"/>
  <c r="E249" i="5"/>
  <c r="D249" i="5"/>
  <c r="H248" i="5"/>
  <c r="G248" i="5"/>
  <c r="F248" i="5"/>
  <c r="E248" i="5"/>
  <c r="D248" i="5"/>
  <c r="H247" i="5"/>
  <c r="G247" i="5"/>
  <c r="F247" i="5"/>
  <c r="E247" i="5"/>
  <c r="D247" i="5"/>
  <c r="H246" i="5"/>
  <c r="G246" i="5"/>
  <c r="F246" i="5"/>
  <c r="E246" i="5"/>
  <c r="D246" i="5"/>
  <c r="H245" i="5"/>
  <c r="G245" i="5"/>
  <c r="F245" i="5"/>
  <c r="E245" i="5"/>
  <c r="D245" i="5"/>
  <c r="H244" i="5"/>
  <c r="G244" i="5"/>
  <c r="F244" i="5"/>
  <c r="E244" i="5"/>
  <c r="D244" i="5"/>
  <c r="H243" i="5"/>
  <c r="G243" i="5"/>
  <c r="F243" i="5"/>
  <c r="E243" i="5"/>
  <c r="D243" i="5"/>
  <c r="H242" i="5"/>
  <c r="G242" i="5"/>
  <c r="F242" i="5"/>
  <c r="E242" i="5"/>
  <c r="D242" i="5"/>
  <c r="H241" i="5"/>
  <c r="G241" i="5"/>
  <c r="F241" i="5"/>
  <c r="E241" i="5"/>
  <c r="D241" i="5"/>
  <c r="H240" i="5"/>
  <c r="G240" i="5"/>
  <c r="F240" i="5"/>
  <c r="E240" i="5"/>
  <c r="D240" i="5"/>
  <c r="H239" i="5"/>
  <c r="G239" i="5"/>
  <c r="F239" i="5"/>
  <c r="E239" i="5"/>
  <c r="D239" i="5"/>
  <c r="H238" i="5"/>
  <c r="G238" i="5"/>
  <c r="F238" i="5"/>
  <c r="E238" i="5"/>
  <c r="D238" i="5"/>
  <c r="H237" i="5"/>
  <c r="G237" i="5"/>
  <c r="F237" i="5"/>
  <c r="E237" i="5"/>
  <c r="D237" i="5"/>
  <c r="H236" i="5"/>
  <c r="G236" i="5"/>
  <c r="F236" i="5"/>
  <c r="E236" i="5"/>
  <c r="D236" i="5"/>
  <c r="H235" i="5"/>
  <c r="G235" i="5"/>
  <c r="F235" i="5"/>
  <c r="E235" i="5"/>
  <c r="D235" i="5"/>
  <c r="H234" i="5"/>
  <c r="G234" i="5"/>
  <c r="F234" i="5"/>
  <c r="E234" i="5"/>
  <c r="D234" i="5"/>
  <c r="H233" i="5"/>
  <c r="G233" i="5"/>
  <c r="F233" i="5"/>
  <c r="E233" i="5"/>
  <c r="D233" i="5"/>
  <c r="H232" i="5"/>
  <c r="G232" i="5"/>
  <c r="F232" i="5"/>
  <c r="E232" i="5"/>
  <c r="D232" i="5"/>
  <c r="H231" i="5"/>
  <c r="G231" i="5"/>
  <c r="F231" i="5"/>
  <c r="E231" i="5"/>
  <c r="D231" i="5"/>
  <c r="H230" i="5"/>
  <c r="G230" i="5"/>
  <c r="F230" i="5"/>
  <c r="E230" i="5"/>
  <c r="D230" i="5"/>
  <c r="H229" i="5"/>
  <c r="G229" i="5"/>
  <c r="F229" i="5"/>
  <c r="E229" i="5"/>
  <c r="D229" i="5"/>
  <c r="H228" i="5"/>
  <c r="G228" i="5"/>
  <c r="F228" i="5"/>
  <c r="E228" i="5"/>
  <c r="D228" i="5"/>
  <c r="H227" i="5"/>
  <c r="G227" i="5"/>
  <c r="F227" i="5"/>
  <c r="E227" i="5"/>
  <c r="D227" i="5"/>
  <c r="H226" i="5"/>
  <c r="G226" i="5"/>
  <c r="F226" i="5"/>
  <c r="E226" i="5"/>
  <c r="D226" i="5"/>
  <c r="H225" i="5"/>
  <c r="G225" i="5"/>
  <c r="F225" i="5"/>
  <c r="E225" i="5"/>
  <c r="D225" i="5"/>
  <c r="H224" i="5"/>
  <c r="G224" i="5"/>
  <c r="F224" i="5"/>
  <c r="E224" i="5"/>
  <c r="D224" i="5"/>
  <c r="H223" i="5"/>
  <c r="G223" i="5"/>
  <c r="F223" i="5"/>
  <c r="E223" i="5"/>
  <c r="D223" i="5"/>
  <c r="H222" i="5"/>
  <c r="G222" i="5"/>
  <c r="F222" i="5"/>
  <c r="E222" i="5"/>
  <c r="D222" i="5"/>
  <c r="H221" i="5"/>
  <c r="G221" i="5"/>
  <c r="F221" i="5"/>
  <c r="E221" i="5"/>
  <c r="D221" i="5"/>
  <c r="H220" i="5"/>
  <c r="G220" i="5"/>
  <c r="F220" i="5"/>
  <c r="E220" i="5"/>
  <c r="D220" i="5"/>
  <c r="H219" i="5"/>
  <c r="G219" i="5"/>
  <c r="F219" i="5"/>
  <c r="E219" i="5"/>
  <c r="D219" i="5"/>
  <c r="H218" i="5"/>
  <c r="G218" i="5"/>
  <c r="F218" i="5"/>
  <c r="E218" i="5"/>
  <c r="D218" i="5"/>
  <c r="H217" i="5"/>
  <c r="G217" i="5"/>
  <c r="F217" i="5"/>
  <c r="E217" i="5"/>
  <c r="D217" i="5"/>
  <c r="H216" i="5"/>
  <c r="G216" i="5"/>
  <c r="F216" i="5"/>
  <c r="E216" i="5"/>
  <c r="D216" i="5"/>
  <c r="H215" i="5"/>
  <c r="G215" i="5"/>
  <c r="F215" i="5"/>
  <c r="E215" i="5"/>
  <c r="D215" i="5"/>
  <c r="H214" i="5"/>
  <c r="G214" i="5"/>
  <c r="F214" i="5"/>
  <c r="E214" i="5"/>
  <c r="D214" i="5"/>
  <c r="H213" i="5"/>
  <c r="G213" i="5"/>
  <c r="F213" i="5"/>
  <c r="E213" i="5"/>
  <c r="D213" i="5"/>
  <c r="H212" i="5"/>
  <c r="G212" i="5"/>
  <c r="F212" i="5"/>
  <c r="E212" i="5"/>
  <c r="D212" i="5"/>
  <c r="H211" i="5"/>
  <c r="G211" i="5"/>
  <c r="F211" i="5"/>
  <c r="E211" i="5"/>
  <c r="D211" i="5"/>
  <c r="H210" i="5"/>
  <c r="G210" i="5"/>
  <c r="F210" i="5"/>
  <c r="E210" i="5"/>
  <c r="D210" i="5"/>
  <c r="H209" i="5"/>
  <c r="G209" i="5"/>
  <c r="F209" i="5"/>
  <c r="E209" i="5"/>
  <c r="D209" i="5"/>
  <c r="H208" i="5"/>
  <c r="G208" i="5"/>
  <c r="F208" i="5"/>
  <c r="E208" i="5"/>
  <c r="D208" i="5"/>
  <c r="H207" i="5"/>
  <c r="G207" i="5"/>
  <c r="F207" i="5"/>
  <c r="E207" i="5"/>
  <c r="D207" i="5"/>
  <c r="H206" i="5"/>
  <c r="G206" i="5"/>
  <c r="F206" i="5"/>
  <c r="E206" i="5"/>
  <c r="D206" i="5"/>
  <c r="H205" i="5"/>
  <c r="G205" i="5"/>
  <c r="F205" i="5"/>
  <c r="E205" i="5"/>
  <c r="D205" i="5"/>
  <c r="H204" i="5"/>
  <c r="G204" i="5"/>
  <c r="F204" i="5"/>
  <c r="E204" i="5"/>
  <c r="D204" i="5"/>
  <c r="H203" i="5"/>
  <c r="G203" i="5"/>
  <c r="F203" i="5"/>
  <c r="E203" i="5"/>
  <c r="D203" i="5"/>
  <c r="H202" i="5"/>
  <c r="G202" i="5"/>
  <c r="F202" i="5"/>
  <c r="E202" i="5"/>
  <c r="D202" i="5"/>
  <c r="H201" i="5"/>
  <c r="G201" i="5"/>
  <c r="F201" i="5"/>
  <c r="E201" i="5"/>
  <c r="D201" i="5"/>
  <c r="H200" i="5"/>
  <c r="G200" i="5"/>
  <c r="F200" i="5"/>
  <c r="E200" i="5"/>
  <c r="D200" i="5"/>
  <c r="H199" i="5"/>
  <c r="G199" i="5"/>
  <c r="F199" i="5"/>
  <c r="E199" i="5"/>
  <c r="D199" i="5"/>
  <c r="H198" i="5"/>
  <c r="G198" i="5"/>
  <c r="F198" i="5"/>
  <c r="E198" i="5"/>
  <c r="D198" i="5"/>
  <c r="H197" i="5"/>
  <c r="G197" i="5"/>
  <c r="F197" i="5"/>
  <c r="E197" i="5"/>
  <c r="D197" i="5"/>
  <c r="H196" i="5"/>
  <c r="G196" i="5"/>
  <c r="F196" i="5"/>
  <c r="E196" i="5"/>
  <c r="D196" i="5"/>
  <c r="H195" i="5"/>
  <c r="G195" i="5"/>
  <c r="F195" i="5"/>
  <c r="E195" i="5"/>
  <c r="D195" i="5"/>
  <c r="H194" i="5"/>
  <c r="G194" i="5"/>
  <c r="F194" i="5"/>
  <c r="E194" i="5"/>
  <c r="D194" i="5"/>
  <c r="H193" i="5"/>
  <c r="G193" i="5"/>
  <c r="F193" i="5"/>
  <c r="E193" i="5"/>
  <c r="D193" i="5"/>
  <c r="H192" i="5"/>
  <c r="G192" i="5"/>
  <c r="F192" i="5"/>
  <c r="E192" i="5"/>
  <c r="D192" i="5"/>
  <c r="H191" i="5"/>
  <c r="G191" i="5"/>
  <c r="F191" i="5"/>
  <c r="E191" i="5"/>
  <c r="D191" i="5"/>
  <c r="H190" i="5"/>
  <c r="G190" i="5"/>
  <c r="F190" i="5"/>
  <c r="E190" i="5"/>
  <c r="D190" i="5"/>
  <c r="H189" i="5"/>
  <c r="G189" i="5"/>
  <c r="F189" i="5"/>
  <c r="E189" i="5"/>
  <c r="D189" i="5"/>
  <c r="H188" i="5"/>
  <c r="G188" i="5"/>
  <c r="F188" i="5"/>
  <c r="E188" i="5"/>
  <c r="D188" i="5"/>
  <c r="H187" i="5"/>
  <c r="G187" i="5"/>
  <c r="F187" i="5"/>
  <c r="E187" i="5"/>
  <c r="D187" i="5"/>
  <c r="H186" i="5"/>
  <c r="G186" i="5"/>
  <c r="F186" i="5"/>
  <c r="E186" i="5"/>
  <c r="D186" i="5"/>
  <c r="H185" i="5"/>
  <c r="G185" i="5"/>
  <c r="F185" i="5"/>
  <c r="E185" i="5"/>
  <c r="D185" i="5"/>
  <c r="H184" i="5"/>
  <c r="G184" i="5"/>
  <c r="F184" i="5"/>
  <c r="E184" i="5"/>
  <c r="D184" i="5"/>
  <c r="H183" i="5"/>
  <c r="G183" i="5"/>
  <c r="F183" i="5"/>
  <c r="E183" i="5"/>
  <c r="D183" i="5"/>
  <c r="H182" i="5"/>
  <c r="G182" i="5"/>
  <c r="F182" i="5"/>
  <c r="E182" i="5"/>
  <c r="D182" i="5"/>
  <c r="H181" i="5"/>
  <c r="G181" i="5"/>
  <c r="F181" i="5"/>
  <c r="E181" i="5"/>
  <c r="D181" i="5"/>
  <c r="H180" i="5"/>
  <c r="G180" i="5"/>
  <c r="F180" i="5"/>
  <c r="E180" i="5"/>
  <c r="D180" i="5"/>
  <c r="H179" i="5"/>
  <c r="G179" i="5"/>
  <c r="F179" i="5"/>
  <c r="E179" i="5"/>
  <c r="D179" i="5"/>
  <c r="H178" i="5"/>
  <c r="G178" i="5"/>
  <c r="F178" i="5"/>
  <c r="E178" i="5"/>
  <c r="D178" i="5"/>
  <c r="H177" i="5"/>
  <c r="G177" i="5"/>
  <c r="F177" i="5"/>
  <c r="E177" i="5"/>
  <c r="D177" i="5"/>
  <c r="H176" i="5"/>
  <c r="G176" i="5"/>
  <c r="F176" i="5"/>
  <c r="E176" i="5"/>
  <c r="D176" i="5"/>
  <c r="H175" i="5"/>
  <c r="G175" i="5"/>
  <c r="F175" i="5"/>
  <c r="E175" i="5"/>
  <c r="D175" i="5"/>
  <c r="H174" i="5"/>
  <c r="G174" i="5"/>
  <c r="F174" i="5"/>
  <c r="E174" i="5"/>
  <c r="D174" i="5"/>
  <c r="H173" i="5"/>
  <c r="G173" i="5"/>
  <c r="F173" i="5"/>
  <c r="E173" i="5"/>
  <c r="D173" i="5"/>
  <c r="H172" i="5"/>
  <c r="G172" i="5"/>
  <c r="F172" i="5"/>
  <c r="E172" i="5"/>
  <c r="D172" i="5"/>
  <c r="H171" i="5"/>
  <c r="G171" i="5"/>
  <c r="F171" i="5"/>
  <c r="E171" i="5"/>
  <c r="D171" i="5"/>
  <c r="H170" i="5"/>
  <c r="G170" i="5"/>
  <c r="F170" i="5"/>
  <c r="E170" i="5"/>
  <c r="D170" i="5"/>
  <c r="H169" i="5"/>
  <c r="G169" i="5"/>
  <c r="F169" i="5"/>
  <c r="E169" i="5"/>
  <c r="D169" i="5"/>
  <c r="H168" i="5"/>
  <c r="G168" i="5"/>
  <c r="F168" i="5"/>
  <c r="E168" i="5"/>
  <c r="D168" i="5"/>
  <c r="H167" i="5"/>
  <c r="G167" i="5"/>
  <c r="F167" i="5"/>
  <c r="E167" i="5"/>
  <c r="D167" i="5"/>
  <c r="H166" i="5"/>
  <c r="G166" i="5"/>
  <c r="F166" i="5"/>
  <c r="E166" i="5"/>
  <c r="D166" i="5"/>
  <c r="H165" i="5"/>
  <c r="G165" i="5"/>
  <c r="F165" i="5"/>
  <c r="E165" i="5"/>
  <c r="D165" i="5"/>
  <c r="H164" i="5"/>
  <c r="G164" i="5"/>
  <c r="F164" i="5"/>
  <c r="E164" i="5"/>
  <c r="D164" i="5"/>
  <c r="H163" i="5"/>
  <c r="G163" i="5"/>
  <c r="F163" i="5"/>
  <c r="E163" i="5"/>
  <c r="D163" i="5"/>
  <c r="H162" i="5"/>
  <c r="G162" i="5"/>
  <c r="F162" i="5"/>
  <c r="E162" i="5"/>
  <c r="D162" i="5"/>
  <c r="H161" i="5"/>
  <c r="G161" i="5"/>
  <c r="F161" i="5"/>
  <c r="E161" i="5"/>
  <c r="D161" i="5"/>
  <c r="H160" i="5"/>
  <c r="G160" i="5"/>
  <c r="F160" i="5"/>
  <c r="E160" i="5"/>
  <c r="D160" i="5"/>
  <c r="H159" i="5"/>
  <c r="G159" i="5"/>
  <c r="F159" i="5"/>
  <c r="E159" i="5"/>
  <c r="D159" i="5"/>
  <c r="H158" i="5"/>
  <c r="G158" i="5"/>
  <c r="F158" i="5"/>
  <c r="E158" i="5"/>
  <c r="D158" i="5"/>
  <c r="H157" i="5"/>
  <c r="G157" i="5"/>
  <c r="F157" i="5"/>
  <c r="E157" i="5"/>
  <c r="D157" i="5"/>
  <c r="H156" i="5"/>
  <c r="G156" i="5"/>
  <c r="F156" i="5"/>
  <c r="E156" i="5"/>
  <c r="D156" i="5"/>
  <c r="H155" i="5"/>
  <c r="G155" i="5"/>
  <c r="F155" i="5"/>
  <c r="E155" i="5"/>
  <c r="D155" i="5"/>
  <c r="H154" i="5"/>
  <c r="G154" i="5"/>
  <c r="F154" i="5"/>
  <c r="E154" i="5"/>
  <c r="D154" i="5"/>
  <c r="H153" i="5"/>
  <c r="G153" i="5"/>
  <c r="F153" i="5"/>
  <c r="E153" i="5"/>
  <c r="D153" i="5"/>
  <c r="H152" i="5"/>
  <c r="G152" i="5"/>
  <c r="F152" i="5"/>
  <c r="E152" i="5"/>
  <c r="D152" i="5"/>
  <c r="H151" i="5"/>
  <c r="G151" i="5"/>
  <c r="F151" i="5"/>
  <c r="E151" i="5"/>
  <c r="D151" i="5"/>
  <c r="H150" i="5"/>
  <c r="G150" i="5"/>
  <c r="F150" i="5"/>
  <c r="E150" i="5"/>
  <c r="D150" i="5"/>
  <c r="H149" i="5"/>
  <c r="G149" i="5"/>
  <c r="F149" i="5"/>
  <c r="E149" i="5"/>
  <c r="D149" i="5"/>
  <c r="H148" i="5"/>
  <c r="G148" i="5"/>
  <c r="F148" i="5"/>
  <c r="E148" i="5"/>
  <c r="D148" i="5"/>
  <c r="H147" i="5"/>
  <c r="G147" i="5"/>
  <c r="F147" i="5"/>
  <c r="E147" i="5"/>
  <c r="D147" i="5"/>
  <c r="H146" i="5"/>
  <c r="G146" i="5"/>
  <c r="F146" i="5"/>
  <c r="E146" i="5"/>
  <c r="D146" i="5"/>
  <c r="H145" i="5"/>
  <c r="G145" i="5"/>
  <c r="F145" i="5"/>
  <c r="E145" i="5"/>
  <c r="D145" i="5"/>
  <c r="H144" i="5"/>
  <c r="G144" i="5"/>
  <c r="F144" i="5"/>
  <c r="E144" i="5"/>
  <c r="D144" i="5"/>
  <c r="H143" i="5"/>
  <c r="G143" i="5"/>
  <c r="F143" i="5"/>
  <c r="E143" i="5"/>
  <c r="D143" i="5"/>
  <c r="H142" i="5"/>
  <c r="G142" i="5"/>
  <c r="F142" i="5"/>
  <c r="E142" i="5"/>
  <c r="D142" i="5"/>
  <c r="H141" i="5"/>
  <c r="G141" i="5"/>
  <c r="F141" i="5"/>
  <c r="E141" i="5"/>
  <c r="D141" i="5"/>
  <c r="H140" i="5"/>
  <c r="G140" i="5"/>
  <c r="F140" i="5"/>
  <c r="E140" i="5"/>
  <c r="D140" i="5"/>
  <c r="H139" i="5"/>
  <c r="G139" i="5"/>
  <c r="F139" i="5"/>
  <c r="E139" i="5"/>
  <c r="D139" i="5"/>
  <c r="H138" i="5"/>
  <c r="G138" i="5"/>
  <c r="F138" i="5"/>
  <c r="E138" i="5"/>
  <c r="D138" i="5"/>
  <c r="H137" i="5"/>
  <c r="G137" i="5"/>
  <c r="F137" i="5"/>
  <c r="E137" i="5"/>
  <c r="D137" i="5"/>
  <c r="H136" i="5"/>
  <c r="G136" i="5"/>
  <c r="F136" i="5"/>
  <c r="E136" i="5"/>
  <c r="D136" i="5"/>
  <c r="H135" i="5"/>
  <c r="G135" i="5"/>
  <c r="F135" i="5"/>
  <c r="E135" i="5"/>
  <c r="D135" i="5"/>
  <c r="H134" i="5"/>
  <c r="G134" i="5"/>
  <c r="F134" i="5"/>
  <c r="E134" i="5"/>
  <c r="D134" i="5"/>
  <c r="H133" i="5"/>
  <c r="G133" i="5"/>
  <c r="F133" i="5"/>
  <c r="E133" i="5"/>
  <c r="D133" i="5"/>
  <c r="H132" i="5"/>
  <c r="G132" i="5"/>
  <c r="F132" i="5"/>
  <c r="E132" i="5"/>
  <c r="D132" i="5"/>
  <c r="H131" i="5"/>
  <c r="G131" i="5"/>
  <c r="F131" i="5"/>
  <c r="E131" i="5"/>
  <c r="D131" i="5"/>
  <c r="H130" i="5"/>
  <c r="G130" i="5"/>
  <c r="F130" i="5"/>
  <c r="E130" i="5"/>
  <c r="D130" i="5"/>
  <c r="H129" i="5"/>
  <c r="G129" i="5"/>
  <c r="F129" i="5"/>
  <c r="E129" i="5"/>
  <c r="D129" i="5"/>
  <c r="H128" i="5"/>
  <c r="G128" i="5"/>
  <c r="F128" i="5"/>
  <c r="E128" i="5"/>
  <c r="D128" i="5"/>
  <c r="H127" i="5"/>
  <c r="G127" i="5"/>
  <c r="F127" i="5"/>
  <c r="E127" i="5"/>
  <c r="D127" i="5"/>
  <c r="H126" i="5"/>
  <c r="G126" i="5"/>
  <c r="F126" i="5"/>
  <c r="E126" i="5"/>
  <c r="D126" i="5"/>
  <c r="H125" i="5"/>
  <c r="G125" i="5"/>
  <c r="F125" i="5"/>
  <c r="E125" i="5"/>
  <c r="D125" i="5"/>
  <c r="H124" i="5"/>
  <c r="G124" i="5"/>
  <c r="F124" i="5"/>
  <c r="E124" i="5"/>
  <c r="D124" i="5"/>
  <c r="H123" i="5"/>
  <c r="G123" i="5"/>
  <c r="F123" i="5"/>
  <c r="E123" i="5"/>
  <c r="D123" i="5"/>
  <c r="H122" i="5"/>
  <c r="G122" i="5"/>
  <c r="F122" i="5"/>
  <c r="E122" i="5"/>
  <c r="D122" i="5"/>
  <c r="H121" i="5"/>
  <c r="G121" i="5"/>
  <c r="F121" i="5"/>
  <c r="E121" i="5"/>
  <c r="D121" i="5"/>
  <c r="H120" i="5"/>
  <c r="G120" i="5"/>
  <c r="F120" i="5"/>
  <c r="E120" i="5"/>
  <c r="D120" i="5"/>
  <c r="H119" i="5"/>
  <c r="G119" i="5"/>
  <c r="F119" i="5"/>
  <c r="E119" i="5"/>
  <c r="D119" i="5"/>
  <c r="H118" i="5"/>
  <c r="G118" i="5"/>
  <c r="F118" i="5"/>
  <c r="E118" i="5"/>
  <c r="D118" i="5"/>
  <c r="H117" i="5"/>
  <c r="G117" i="5"/>
  <c r="F117" i="5"/>
  <c r="E117" i="5"/>
  <c r="D117" i="5"/>
  <c r="H116" i="5"/>
  <c r="G116" i="5"/>
  <c r="F116" i="5"/>
  <c r="E116" i="5"/>
  <c r="D116" i="5"/>
  <c r="H115" i="5"/>
  <c r="G115" i="5"/>
  <c r="F115" i="5"/>
  <c r="E115" i="5"/>
  <c r="D115" i="5"/>
  <c r="H114" i="5"/>
  <c r="G114" i="5"/>
  <c r="F114" i="5"/>
  <c r="E114" i="5"/>
  <c r="D114" i="5"/>
  <c r="H113" i="5"/>
  <c r="G113" i="5"/>
  <c r="F113" i="5"/>
  <c r="E113" i="5"/>
  <c r="D113" i="5"/>
  <c r="H112" i="5"/>
  <c r="G112" i="5"/>
  <c r="F112" i="5"/>
  <c r="E112" i="5"/>
  <c r="D112" i="5"/>
  <c r="H111" i="5"/>
  <c r="G111" i="5"/>
  <c r="F111" i="5"/>
  <c r="E111" i="5"/>
  <c r="D111" i="5"/>
  <c r="H110" i="5"/>
  <c r="G110" i="5"/>
  <c r="F110" i="5"/>
  <c r="E110" i="5"/>
  <c r="D110" i="5"/>
  <c r="H109" i="5"/>
  <c r="G109" i="5"/>
  <c r="F109" i="5"/>
  <c r="E109" i="5"/>
  <c r="D109" i="5"/>
  <c r="H108" i="5"/>
  <c r="G108" i="5"/>
  <c r="F108" i="5"/>
  <c r="E108" i="5"/>
  <c r="D108" i="5"/>
  <c r="H107" i="5"/>
  <c r="G107" i="5"/>
  <c r="F107" i="5"/>
  <c r="E107" i="5"/>
  <c r="D107" i="5"/>
  <c r="H106" i="5"/>
  <c r="G106" i="5"/>
  <c r="F106" i="5"/>
  <c r="E106" i="5"/>
  <c r="D106" i="5"/>
  <c r="H105" i="5"/>
  <c r="G105" i="5"/>
  <c r="F105" i="5"/>
  <c r="E105" i="5"/>
  <c r="D105" i="5"/>
  <c r="H104" i="5"/>
  <c r="G104" i="5"/>
  <c r="F104" i="5"/>
  <c r="E104" i="5"/>
  <c r="D104" i="5"/>
  <c r="H103" i="5"/>
  <c r="G103" i="5"/>
  <c r="F103" i="5"/>
  <c r="E103" i="5"/>
  <c r="D103" i="5"/>
  <c r="H102" i="5"/>
  <c r="G102" i="5"/>
  <c r="F102" i="5"/>
  <c r="E102" i="5"/>
  <c r="D102" i="5"/>
  <c r="H101" i="5"/>
  <c r="G101" i="5"/>
  <c r="F101" i="5"/>
  <c r="E101" i="5"/>
  <c r="D101" i="5"/>
  <c r="H100" i="5"/>
  <c r="G100" i="5"/>
  <c r="F100" i="5"/>
  <c r="E100" i="5"/>
  <c r="D100" i="5"/>
  <c r="H99" i="5"/>
  <c r="G99" i="5"/>
  <c r="F99" i="5"/>
  <c r="E99" i="5"/>
  <c r="D99" i="5"/>
  <c r="H98" i="5"/>
  <c r="G98" i="5"/>
  <c r="F98" i="5"/>
  <c r="E98" i="5"/>
  <c r="D98" i="5"/>
  <c r="H97" i="5"/>
  <c r="G97" i="5"/>
  <c r="F97" i="5"/>
  <c r="E97" i="5"/>
  <c r="D97" i="5"/>
  <c r="H96" i="5"/>
  <c r="G96" i="5"/>
  <c r="F96" i="5"/>
  <c r="E96" i="5"/>
  <c r="D96" i="5"/>
  <c r="H95" i="5"/>
  <c r="G95" i="5"/>
  <c r="F95" i="5"/>
  <c r="E95" i="5"/>
  <c r="D95" i="5"/>
  <c r="H94" i="5"/>
  <c r="G94" i="5"/>
  <c r="F94" i="5"/>
  <c r="E94" i="5"/>
  <c r="D94" i="5"/>
  <c r="H93" i="5"/>
  <c r="G93" i="5"/>
  <c r="F93" i="5"/>
  <c r="E93" i="5"/>
  <c r="D93" i="5"/>
  <c r="H92" i="5"/>
  <c r="G92" i="5"/>
  <c r="F92" i="5"/>
  <c r="E92" i="5"/>
  <c r="D92" i="5"/>
  <c r="H91" i="5"/>
  <c r="G91" i="5"/>
  <c r="F91" i="5"/>
  <c r="E91" i="5"/>
  <c r="D91" i="5"/>
  <c r="H90" i="5"/>
  <c r="G90" i="5"/>
  <c r="F90" i="5"/>
  <c r="E90" i="5"/>
  <c r="D90" i="5"/>
  <c r="H89" i="5"/>
  <c r="G89" i="5"/>
  <c r="F89" i="5"/>
  <c r="E89" i="5"/>
  <c r="D89" i="5"/>
  <c r="H88" i="5"/>
  <c r="G88" i="5"/>
  <c r="F88" i="5"/>
  <c r="E88" i="5"/>
  <c r="D88" i="5"/>
  <c r="H87" i="5"/>
  <c r="G87" i="5"/>
  <c r="F87" i="5"/>
  <c r="E87" i="5"/>
  <c r="D87" i="5"/>
  <c r="H86" i="5"/>
  <c r="G86" i="5"/>
  <c r="F86" i="5"/>
  <c r="E86" i="5"/>
  <c r="D86" i="5"/>
  <c r="H85" i="5"/>
  <c r="G85" i="5"/>
  <c r="F85" i="5"/>
  <c r="E85" i="5"/>
  <c r="D85" i="5"/>
  <c r="H84" i="5"/>
  <c r="G84" i="5"/>
  <c r="F84" i="5"/>
  <c r="E84" i="5"/>
  <c r="D84" i="5"/>
  <c r="H83" i="5"/>
  <c r="G83" i="5"/>
  <c r="F83" i="5"/>
  <c r="E83" i="5"/>
  <c r="D83" i="5"/>
  <c r="H82" i="5"/>
  <c r="G82" i="5"/>
  <c r="F82" i="5"/>
  <c r="E82" i="5"/>
  <c r="D82" i="5"/>
  <c r="H81" i="5"/>
  <c r="G81" i="5"/>
  <c r="F81" i="5"/>
  <c r="E81" i="5"/>
  <c r="D81" i="5"/>
  <c r="H80" i="5"/>
  <c r="G80" i="5"/>
  <c r="F80" i="5"/>
  <c r="E80" i="5"/>
  <c r="D80" i="5"/>
  <c r="H79" i="5"/>
  <c r="G79" i="5"/>
  <c r="F79" i="5"/>
  <c r="E79" i="5"/>
  <c r="D79" i="5"/>
  <c r="H78" i="5"/>
  <c r="G78" i="5"/>
  <c r="F78" i="5"/>
  <c r="E78" i="5"/>
  <c r="D78" i="5"/>
  <c r="H77" i="5"/>
  <c r="G77" i="5"/>
  <c r="F77" i="5"/>
  <c r="E77" i="5"/>
  <c r="D77" i="5"/>
  <c r="H76" i="5"/>
  <c r="G76" i="5"/>
  <c r="F76" i="5"/>
  <c r="E76" i="5"/>
  <c r="D76" i="5"/>
  <c r="H75" i="5"/>
  <c r="G75" i="5"/>
  <c r="F75" i="5"/>
  <c r="E75" i="5"/>
  <c r="D75" i="5"/>
  <c r="H74" i="5"/>
  <c r="G74" i="5"/>
  <c r="F74" i="5"/>
  <c r="E74" i="5"/>
  <c r="D74" i="5"/>
  <c r="H73" i="5"/>
  <c r="G73" i="5"/>
  <c r="F73" i="5"/>
  <c r="E73" i="5"/>
  <c r="D73" i="5"/>
  <c r="H72" i="5"/>
  <c r="G72" i="5"/>
  <c r="F72" i="5"/>
  <c r="E72" i="5"/>
  <c r="D72" i="5"/>
  <c r="H71" i="5"/>
  <c r="G71" i="5"/>
  <c r="F71" i="5"/>
  <c r="E71" i="5"/>
  <c r="D71" i="5"/>
  <c r="H70" i="5"/>
  <c r="G70" i="5"/>
  <c r="F70" i="5"/>
  <c r="E70" i="5"/>
  <c r="D70" i="5"/>
  <c r="H69" i="5"/>
  <c r="G69" i="5"/>
  <c r="F69" i="5"/>
  <c r="E69" i="5"/>
  <c r="D69" i="5"/>
  <c r="H68" i="5"/>
  <c r="G68" i="5"/>
  <c r="F68" i="5"/>
  <c r="E68" i="5"/>
  <c r="D68" i="5"/>
  <c r="H67" i="5"/>
  <c r="G67" i="5"/>
  <c r="F67" i="5"/>
  <c r="E67" i="5"/>
  <c r="D67" i="5"/>
  <c r="H66" i="5"/>
  <c r="G66" i="5"/>
  <c r="F66" i="5"/>
  <c r="E66" i="5"/>
  <c r="D66" i="5"/>
  <c r="H65" i="5"/>
  <c r="G65" i="5"/>
  <c r="F65" i="5"/>
  <c r="E65" i="5"/>
  <c r="D65" i="5"/>
  <c r="H64" i="5"/>
  <c r="G64" i="5"/>
  <c r="F64" i="5"/>
  <c r="E64" i="5"/>
  <c r="D64" i="5"/>
  <c r="H63" i="5"/>
  <c r="G63" i="5"/>
  <c r="F63" i="5"/>
  <c r="E63" i="5"/>
  <c r="D63" i="5"/>
  <c r="H62" i="5"/>
  <c r="G62" i="5"/>
  <c r="F62" i="5"/>
  <c r="E62" i="5"/>
  <c r="D62" i="5"/>
  <c r="H61" i="5"/>
  <c r="G61" i="5"/>
  <c r="F61" i="5"/>
  <c r="E61" i="5"/>
  <c r="D61" i="5"/>
  <c r="H60" i="5"/>
  <c r="G60" i="5"/>
  <c r="F60" i="5"/>
  <c r="E60" i="5"/>
  <c r="D60" i="5"/>
  <c r="H59" i="5"/>
  <c r="G59" i="5"/>
  <c r="F59" i="5"/>
  <c r="E59" i="5"/>
  <c r="D59" i="5"/>
  <c r="H58" i="5"/>
  <c r="G58" i="5"/>
  <c r="F58" i="5"/>
  <c r="E58" i="5"/>
  <c r="D58" i="5"/>
  <c r="H57" i="5"/>
  <c r="G57" i="5"/>
  <c r="F57" i="5"/>
  <c r="E57" i="5"/>
  <c r="D57" i="5"/>
  <c r="H56" i="5"/>
  <c r="G56" i="5"/>
  <c r="F56" i="5"/>
  <c r="E56" i="5"/>
  <c r="D56" i="5"/>
  <c r="H55" i="5"/>
  <c r="G55" i="5"/>
  <c r="F55" i="5"/>
  <c r="E55" i="5"/>
  <c r="D55" i="5"/>
  <c r="H54" i="5"/>
  <c r="G54" i="5"/>
  <c r="F54" i="5"/>
  <c r="E54" i="5"/>
  <c r="D54" i="5"/>
  <c r="H53" i="5"/>
  <c r="G53" i="5"/>
  <c r="F53" i="5"/>
  <c r="E53" i="5"/>
  <c r="D53" i="5"/>
  <c r="H52" i="5"/>
  <c r="G52" i="5"/>
  <c r="F52" i="5"/>
  <c r="E52" i="5"/>
  <c r="D52" i="5"/>
  <c r="H51" i="5"/>
  <c r="G51" i="5"/>
  <c r="F51" i="5"/>
  <c r="E51" i="5"/>
  <c r="D51" i="5"/>
  <c r="H50" i="5"/>
  <c r="G50" i="5"/>
  <c r="F50" i="5"/>
  <c r="E50" i="5"/>
  <c r="D50" i="5"/>
  <c r="H49" i="5"/>
  <c r="G49" i="5"/>
  <c r="F49" i="5"/>
  <c r="E49" i="5"/>
  <c r="D49" i="5"/>
  <c r="H48" i="5"/>
  <c r="G48" i="5"/>
  <c r="F48" i="5"/>
  <c r="E48" i="5"/>
  <c r="D48" i="5"/>
  <c r="H47" i="5"/>
  <c r="G47" i="5"/>
  <c r="F47" i="5"/>
  <c r="E47" i="5"/>
  <c r="D47" i="5"/>
  <c r="H46" i="5"/>
  <c r="G46" i="5"/>
  <c r="F46" i="5"/>
  <c r="E46" i="5"/>
  <c r="D46" i="5"/>
  <c r="H45" i="5"/>
  <c r="G45" i="5"/>
  <c r="F45" i="5"/>
  <c r="E45" i="5"/>
  <c r="D45" i="5"/>
  <c r="H44" i="5"/>
  <c r="G44" i="5"/>
  <c r="F44" i="5"/>
  <c r="E44" i="5"/>
  <c r="D44" i="5"/>
  <c r="H43" i="5"/>
  <c r="G43" i="5"/>
  <c r="F43" i="5"/>
  <c r="E43" i="5"/>
  <c r="D43" i="5"/>
  <c r="H42" i="5"/>
  <c r="G42" i="5"/>
  <c r="F42" i="5"/>
  <c r="E42" i="5"/>
  <c r="D42" i="5"/>
  <c r="H41" i="5"/>
  <c r="G41" i="5"/>
  <c r="F41" i="5"/>
  <c r="E41" i="5"/>
  <c r="D41" i="5"/>
  <c r="H40" i="5"/>
  <c r="G40" i="5"/>
  <c r="F40" i="5"/>
  <c r="E40" i="5"/>
  <c r="D40" i="5"/>
  <c r="H39" i="5"/>
  <c r="G39" i="5"/>
  <c r="F39" i="5"/>
  <c r="E39" i="5"/>
  <c r="D39" i="5"/>
  <c r="H38" i="5"/>
  <c r="G38" i="5"/>
  <c r="F38" i="5"/>
  <c r="E38" i="5"/>
  <c r="D38" i="5"/>
  <c r="H37" i="5"/>
  <c r="G37" i="5"/>
  <c r="F37" i="5"/>
  <c r="E37" i="5"/>
  <c r="D37" i="5"/>
  <c r="H36" i="5"/>
  <c r="G36" i="5"/>
  <c r="F36" i="5"/>
  <c r="E36" i="5"/>
  <c r="D36" i="5"/>
  <c r="H35" i="5"/>
  <c r="G35" i="5"/>
  <c r="F35" i="5"/>
  <c r="E35" i="5"/>
  <c r="D35" i="5"/>
  <c r="H34" i="5"/>
  <c r="G34" i="5"/>
  <c r="F34" i="5"/>
  <c r="E34" i="5"/>
  <c r="D34" i="5"/>
  <c r="H33" i="5"/>
  <c r="G33" i="5"/>
  <c r="F33" i="5"/>
  <c r="E33" i="5"/>
  <c r="D33" i="5"/>
  <c r="H32" i="5"/>
  <c r="G32" i="5"/>
  <c r="F32" i="5"/>
  <c r="E32" i="5"/>
  <c r="D32" i="5"/>
  <c r="H31" i="5"/>
  <c r="G31" i="5"/>
  <c r="F31" i="5"/>
  <c r="E31" i="5"/>
  <c r="D31" i="5"/>
  <c r="H30" i="5"/>
  <c r="G30" i="5"/>
  <c r="F30" i="5"/>
  <c r="E30" i="5"/>
  <c r="D30" i="5"/>
  <c r="H29" i="5"/>
  <c r="G29" i="5"/>
  <c r="F29" i="5"/>
  <c r="E29" i="5"/>
  <c r="D29" i="5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D2" i="5"/>
  <c r="E2" i="5"/>
  <c r="F2" i="5"/>
  <c r="G2" i="5"/>
  <c r="H2" i="5"/>
  <c r="B2" i="5"/>
  <c r="C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C18" i="5" s="1"/>
  <c r="B19" i="5"/>
  <c r="B20" i="5"/>
  <c r="B21" i="5"/>
  <c r="B22" i="5"/>
  <c r="B23" i="5"/>
  <c r="B24" i="5"/>
  <c r="B25" i="5"/>
  <c r="B26" i="5"/>
  <c r="B27" i="5"/>
  <c r="B28" i="5"/>
  <c r="C28" i="5" s="1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C44" i="5" s="1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C60" i="5" s="1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C76" i="5" s="1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C91" i="5" s="1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C107" i="5" s="1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C123" i="5" s="1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C139" i="5" s="1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C155" i="5" s="1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C171" i="5" s="1"/>
  <c r="B172" i="5"/>
  <c r="B173" i="5"/>
  <c r="B174" i="5"/>
  <c r="B175" i="5"/>
  <c r="B176" i="5"/>
  <c r="B177" i="5"/>
  <c r="B178" i="5"/>
  <c r="B179" i="5"/>
  <c r="B180" i="5"/>
  <c r="B181" i="5"/>
  <c r="C181" i="5" s="1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C197" i="5" s="1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C213" i="5" s="1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C229" i="5" s="1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C245" i="5" s="1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C261" i="5" s="1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C277" i="5" s="1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C293" i="5" s="1"/>
  <c r="B294" i="5"/>
  <c r="B295" i="5"/>
  <c r="B296" i="5"/>
  <c r="B297" i="5"/>
  <c r="B298" i="5"/>
  <c r="C298" i="5" s="1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C313" i="5" s="1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C328" i="5" s="1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C343" i="5" s="1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C358" i="5" s="1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C373" i="5" s="1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C394" i="5" s="1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C410" i="5" s="1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C426" i="5" s="1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C442" i="5" s="1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C458" i="5" s="1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C474" i="5" s="1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C490" i="5" s="1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C516" i="5" s="1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C329" i="5" l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198" i="5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580" i="5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6" i="5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2" i="5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8" i="5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4" i="5"/>
  <c r="C655" i="5" s="1"/>
  <c r="C656" i="5" s="1"/>
  <c r="C657" i="5" s="1"/>
  <c r="C658" i="5" s="1"/>
  <c r="C659" i="5" s="1"/>
  <c r="C660" i="5" s="1"/>
  <c r="C661" i="5" s="1"/>
  <c r="C662" i="5" s="1"/>
  <c r="C663" i="5" s="1"/>
  <c r="C359" i="5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532" i="5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8" i="5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4" i="5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172" i="5"/>
  <c r="C173" i="5" s="1"/>
  <c r="C174" i="5" s="1"/>
  <c r="C175" i="5" s="1"/>
  <c r="C176" i="5" s="1"/>
  <c r="C177" i="5" s="1"/>
  <c r="C178" i="5" s="1"/>
  <c r="C179" i="5" s="1"/>
  <c r="C180" i="5" s="1"/>
  <c r="C156" i="5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9" i="5"/>
  <c r="C20" i="5" s="1"/>
  <c r="C21" i="5" s="1"/>
  <c r="C22" i="5" s="1"/>
  <c r="C23" i="5" s="1"/>
  <c r="C24" i="5" s="1"/>
  <c r="C25" i="5" s="1"/>
  <c r="C26" i="5" s="1"/>
  <c r="C27" i="5" s="1"/>
  <c r="C676" i="5"/>
  <c r="C677" i="5" s="1"/>
  <c r="C678" i="5" s="1"/>
  <c r="C679" i="5" s="1"/>
  <c r="C680" i="5" s="1"/>
  <c r="C681" i="5" s="1"/>
  <c r="C682" i="5" s="1"/>
  <c r="C683" i="5" s="1"/>
  <c r="C684" i="5" s="1"/>
  <c r="C685" i="5" s="1"/>
  <c r="C314" i="5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687" i="5"/>
  <c r="C688" i="5" s="1"/>
  <c r="C689" i="5" s="1"/>
  <c r="C690" i="5" s="1"/>
  <c r="C691" i="5" s="1"/>
  <c r="C692" i="5" s="1"/>
  <c r="C693" i="5" s="1"/>
  <c r="C694" i="5" s="1"/>
  <c r="C695" i="5" s="1"/>
  <c r="C665" i="5"/>
  <c r="C666" i="5" s="1"/>
  <c r="C667" i="5" s="1"/>
  <c r="C668" i="5" s="1"/>
  <c r="C669" i="5" s="1"/>
  <c r="C670" i="5" s="1"/>
  <c r="C671" i="5" s="1"/>
  <c r="C672" i="5" s="1"/>
  <c r="C673" i="5" s="1"/>
  <c r="C674" i="5" s="1"/>
  <c r="C443" i="5"/>
  <c r="C517" i="5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61" i="5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45" i="5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29" i="5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344" i="5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74" i="5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294" i="5"/>
  <c r="C295" i="5" s="1"/>
  <c r="C296" i="5" s="1"/>
  <c r="C297" i="5" s="1"/>
  <c r="C278" i="5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62" i="5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46" i="5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30" i="5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182" i="5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40" i="5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24" i="5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92" i="5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491" i="5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475" i="5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59" i="5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27" i="5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11" i="5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395" i="5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299" i="5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444" i="5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214" i="5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</calcChain>
</file>

<file path=xl/sharedStrings.xml><?xml version="1.0" encoding="utf-8"?>
<sst xmlns="http://schemas.openxmlformats.org/spreadsheetml/2006/main" count="1764" uniqueCount="369">
  <si>
    <t>2025-11-19 - Wednesday</t>
  </si>
  <si>
    <t>Recs:</t>
  </si>
  <si>
    <t>NVDA – NVIDIA Corp</t>
  </si>
  <si>
    <t>ERIC – Telefonaktiebolaget LM Ericsson</t>
  </si>
  <si>
    <t>VOLV-B.ST – AB Volvo (publ) B</t>
  </si>
  <si>
    <t>AZN.ST – AstraZeneca PLC</t>
  </si>
  <si>
    <t>VOLCAR-B.ST – Volvo Car AB (publ.)</t>
  </si>
  <si>
    <t>Perf (prev recs):</t>
  </si>
  <si>
    <t>N/A</t>
  </si>
  <si>
    <t>Avg N/A</t>
  </si>
  <si>
    <t>S&amp;P500 N/A</t>
  </si>
  <si>
    <t>2025-11-20 - Thursday</t>
  </si>
  <si>
    <t>AMD – Advanced Micro Devices Inc.</t>
  </si>
  <si>
    <t>WMT – Walmart Inc.</t>
  </si>
  <si>
    <t>SYNSAM.ST – Synsam AB (publ)</t>
  </si>
  <si>
    <t>HUFV-A.ST – Hufvudstaden AB (publ)</t>
  </si>
  <si>
    <t>NVDA +2.85% Yahoo Finance+2Investing.com+2</t>
  </si>
  <si>
    <t>ERIC -1.89% Yahoo Finance+2StockAnalysis+2</t>
  </si>
  <si>
    <t>VOLV-B.ST +2.61% Yahoo Finance+2StockAnalysis+2</t>
  </si>
  <si>
    <t>AZN.ST +0.83% Yahoo Finance+2AstraZeneca+2</t>
  </si>
  <si>
    <t>VOLCAR-B.ST +1.94% Yahoo Finance+2Investing.com+2</t>
  </si>
  <si>
    <t>Avg +1.27%</t>
  </si>
  <si>
    <t>S&amp;P500 +0.38% Yahoo Finance+2Investing.com+2</t>
  </si>
  <si>
    <t>2025-11-21 - Friday</t>
  </si>
  <si>
    <t>NVDA – NVIDIA Corporation</t>
  </si>
  <si>
    <t>ERIC – Telefonaktiebolaget LM Ericsson</t>
  </si>
  <si>
    <t>TEL – Telia Company AB</t>
  </si>
  <si>
    <t>TAK – Takkt AG</t>
  </si>
  <si>
    <t>NVDA -3.15%</t>
  </si>
  <si>
    <t>ERIC -2.25%</t>
  </si>
  <si>
    <t>VOLV‑B.ST N/A</t>
  </si>
  <si>
    <t>AZN.ST N/A</t>
  </si>
  <si>
    <t>VOLCAR‑B.ST N/A</t>
  </si>
  <si>
    <t>Avg -1.80%</t>
  </si>
  <si>
    <t>S&amp;P500 -1.56%</t>
  </si>
  <si>
    <t>2025-11-22 - Saturday</t>
  </si>
  <si>
    <t>AAPL – Apple Inc.</t>
  </si>
  <si>
    <t>SAP – SAP SE</t>
  </si>
  <si>
    <t>SAND.ST – Sandvik AB</t>
  </si>
  <si>
    <t>ORSTED.CO – Ørsted A/S</t>
  </si>
  <si>
    <t>TSLA – Tesla Inc.</t>
  </si>
  <si>
    <t>NVDA +2.85%</t>
  </si>
  <si>
    <t>ERIC -1.89%</t>
  </si>
  <si>
    <t>WMT +1.12%</t>
  </si>
  <si>
    <t>TEL +0.34%</t>
  </si>
  <si>
    <t>TAK +0.47%</t>
  </si>
  <si>
    <t>Avg +0.58%</t>
  </si>
  <si>
    <t>S&amp;P500 +0.38%</t>
  </si>
  <si>
    <t>2025-11-23 - Sunday</t>
  </si>
  <si>
    <t>SAAB B – Saab AB</t>
  </si>
  <si>
    <t>WBD – Warner Bros. Discovery, Inc.</t>
  </si>
  <si>
    <t>COST – Costco Wholesale Corporation</t>
  </si>
  <si>
    <t>LRCX – Lam Research Corporation</t>
  </si>
  <si>
    <t>ASML – ASML Holding N.V.</t>
  </si>
  <si>
    <t>NVDA +N/A%</t>
  </si>
  <si>
    <t>ERIC +N/A%</t>
  </si>
  <si>
    <t>WMT +N/A%</t>
  </si>
  <si>
    <t>TEL +N/A%</t>
  </si>
  <si>
    <t>TAK +N/A%</t>
  </si>
  <si>
    <t>Avg +N/A%</t>
  </si>
  <si>
    <t>S&amp;P500 +N/A%</t>
  </si>
  <si>
    <t>2025-11-24 - Monday</t>
  </si>
  <si>
    <t>WBD – Warner Bros. Discovery, Inc. (media)</t>
  </si>
  <si>
    <t>COST – Costco Wholesale Corporation (consumer retail)</t>
  </si>
  <si>
    <t>LRCX – Lam Research Corporation (semiconductor equipment)</t>
  </si>
  <si>
    <t>ASML – ASML Holding N.V. (chip lithography)</t>
  </si>
  <si>
    <t>ALLIGO B – Alligo AB (publ) (Sweden trade distribution)</t>
  </si>
  <si>
    <t>2025-11-25 - Tuesday</t>
  </si>
  <si>
    <t>ASML – ASML Holding N.V. (semiconductor equipment)</t>
  </si>
  <si>
    <t>LRCX – Lam Research Corporation (semiconductor manufacturing)</t>
  </si>
  <si>
    <t>ALB – Albemarle Corporation (lithium/EV materials)</t>
  </si>
  <si>
    <t>PTC – PTC Inc. (industrial software)</t>
  </si>
  <si>
    <t>WBD +N/A%</t>
  </si>
  <si>
    <t>COST +N/A%</t>
  </si>
  <si>
    <t>LRCX +N/A%</t>
  </si>
  <si>
    <t>ASML +N/A%</t>
  </si>
  <si>
    <t>ALLIGO B +N/A%</t>
  </si>
  <si>
    <t>2025-11-06 - Thursday</t>
  </si>
  <si>
    <t>SECU-B.ST – Securitas AB</t>
  </si>
  <si>
    <t>ERIC-B.ST – Ericsson B</t>
  </si>
  <si>
    <t>TELIA.ST – Telia Company</t>
  </si>
  <si>
    <t>SAAB-B.ST – Saab AB</t>
  </si>
  <si>
    <t>VOLV-B.ST – AB Volvo B</t>
  </si>
  <si>
    <t>2025-11-07 - Friday</t>
  </si>
  <si>
    <t>NOK – Nokia Corporation</t>
  </si>
  <si>
    <t>SECU-B.ST N/A</t>
  </si>
  <si>
    <t>TELIA.ST N/A</t>
  </si>
  <si>
    <t>SAAB-B.ST N/A</t>
  </si>
  <si>
    <t>VOLV-B.ST N/A</t>
  </si>
  <si>
    <t>ERIC-B.ST N/A</t>
  </si>
  <si>
    <t>2025-11-08 - Saturday</t>
  </si>
  <si>
    <t>SWEC-B.ST – Sweco AB</t>
  </si>
  <si>
    <t>ATCO-A.ST – Atlas Copco A</t>
  </si>
  <si>
    <t>HEXA-B.ST – Hexagon AB</t>
  </si>
  <si>
    <t>INVE-B.ST – Investor AB</t>
  </si>
  <si>
    <t>NOK N/A</t>
  </si>
  <si>
    <t>2025-11-09 - Sunday</t>
  </si>
  <si>
    <t>ERIC-B.ST – Ericsson AB B</t>
  </si>
  <si>
    <t>SSAB-B.ST – SSAB AB B</t>
  </si>
  <si>
    <t>SHBa.ST – Handelsbanken AB</t>
  </si>
  <si>
    <t>INVE-B.ST – Investor AB B</t>
  </si>
  <si>
    <t>2025-11-10 - Monday</t>
  </si>
  <si>
    <t>HEXA‑B.ST – Hexagon AB</t>
  </si>
  <si>
    <t>AZN – AstraZeneca plc</t>
  </si>
  <si>
    <t>EQTAB.ST – EQT AB</t>
  </si>
  <si>
    <t>SAABb.ST – Saab AB B</t>
  </si>
  <si>
    <t>BOL.ST – Boliden AB B</t>
  </si>
  <si>
    <t>SWEC‑B.ST N/A</t>
  </si>
  <si>
    <t>ATCO‑A.ST N/A</t>
  </si>
  <si>
    <t>HEXA‑B.ST N/A</t>
  </si>
  <si>
    <t>INVE‑B.ST N/A</t>
  </si>
  <si>
    <t>SAND.ST N/A</t>
  </si>
  <si>
    <t>2025-11-11 - Tuesday</t>
  </si>
  <si>
    <t>BOL.ST – Boliden AB</t>
  </si>
  <si>
    <t>ERIC‑B.ST N/A</t>
  </si>
  <si>
    <t>SSAB‑B.ST N/A</t>
  </si>
  <si>
    <t>SHBa.ST N/A</t>
  </si>
  <si>
    <t>S&amp;P500 +0.34%</t>
  </si>
  <si>
    <t>2025-11-12 - Wednesday</t>
  </si>
  <si>
    <t>EQT.ST – EQT AB</t>
  </si>
  <si>
    <t>AZN +0.00%</t>
  </si>
  <si>
    <t>EQTAB.ST N/A</t>
  </si>
  <si>
    <t>SAABb.ST N/A</t>
  </si>
  <si>
    <t>BOL.ST N/A</t>
  </si>
  <si>
    <t>S&amp;P500 +0.00%</t>
  </si>
  <si>
    <t>2025-11-13 - Thursday</t>
  </si>
  <si>
    <t>MSFT – Microsoft Corporation</t>
  </si>
  <si>
    <t>SAAB B – Saab AB B</t>
  </si>
  <si>
    <t>BOL – Boliden AB</t>
  </si>
  <si>
    <t>SKF – SKF AB</t>
  </si>
  <si>
    <t>2025-11-14 - Friday</t>
  </si>
  <si>
    <t>ERIC – Telefonaktiebolaget LM Ericsson</t>
  </si>
  <si>
    <t>VOLV‑B.ST – AB Volvo B</t>
  </si>
  <si>
    <t>2025-11-15 - Saturday</t>
  </si>
  <si>
    <t>APM – APM Terminals</t>
  </si>
  <si>
    <t>LACX – LACX Mining Corp</t>
  </si>
  <si>
    <t>KBH – KB Home</t>
  </si>
  <si>
    <t>ERIC +0.00%</t>
  </si>
  <si>
    <t>MSFT +1.37%</t>
  </si>
  <si>
    <t>NVDA +1.77%</t>
  </si>
  <si>
    <t>S&amp;P500 -1.70%</t>
  </si>
  <si>
    <t>2025-11-16 - Sunday</t>
  </si>
  <si>
    <t>STOR B.ST – Storskogen Group AB Simply Wall St</t>
  </si>
  <si>
    <t>BOL.ST – Boliden AB Investing.com+1</t>
  </si>
  <si>
    <t>SSAB B.ST – SSAB AB Wikipedia</t>
  </si>
  <si>
    <t>MSFT +1.37% Investing.com+1</t>
  </si>
  <si>
    <t>NVDA +1.77% Investing.com+1</t>
  </si>
  <si>
    <t>APM N/A</t>
  </si>
  <si>
    <t>LACX N/A</t>
  </si>
  <si>
    <t>KBH N/A</t>
  </si>
  <si>
    <t>Avg +1.57% (calculated ignoring N/A)</t>
  </si>
  <si>
    <t>S&amp;P500 +?% (data insufficient)</t>
  </si>
  <si>
    <t>2025-11-17 - Monday</t>
  </si>
  <si>
    <t>CSCO – Cisco Systems Inc.</t>
  </si>
  <si>
    <t>CAT – Caterpillar Inc.</t>
  </si>
  <si>
    <t>BHP – BHP Group Ltd.</t>
  </si>
  <si>
    <t>SKLGF – SKF Group (Class B, Sweden)</t>
  </si>
  <si>
    <t>Avg +1.57%</t>
  </si>
  <si>
    <t>S&amp;P500 +?%</t>
  </si>
  <si>
    <t>2025-11-18 - Tuesday</t>
  </si>
  <si>
    <t>SKLGF – SKF Group (Class B)</t>
  </si>
  <si>
    <t>S&amp;P500 +N/A</t>
  </si>
  <si>
    <t>SKFB.ST – SKF AB (Sweden)</t>
  </si>
  <si>
    <t>AAPL N/A</t>
  </si>
  <si>
    <t>CSCO N/A</t>
  </si>
  <si>
    <t>CAT N/A</t>
  </si>
  <si>
    <t>BHP N/A</t>
  </si>
  <si>
    <t>SKLGF N/A</t>
  </si>
  <si>
    <t>2025-11-05 - Wednesday</t>
  </si>
  <si>
    <t>ERICb.ST – Telefonaktiebolaget LM Ericsson B</t>
  </si>
  <si>
    <t>BOL – The Boliden Company</t>
  </si>
  <si>
    <t>S&amp;P500 +X.XX%</t>
  </si>
  <si>
    <t>2025-10-23 - Thursday</t>
  </si>
  <si>
    <t>TSLA – Tesla Inc</t>
  </si>
  <si>
    <t>IBM – International Business Machines Corp</t>
  </si>
  <si>
    <t>NKE – Nike Inc</t>
  </si>
  <si>
    <t>SAND – Sandstorm Gold Ltd</t>
  </si>
  <si>
    <t>SEB_A – SEB AB</t>
  </si>
  <si>
    <t>SKF‑B +0.42%</t>
  </si>
  <si>
    <t>EVO.ST -0.55%</t>
  </si>
  <si>
    <t>MSFT +1.18%</t>
  </si>
  <si>
    <t>NVO -0.33%</t>
  </si>
  <si>
    <t>BP +0.27%</t>
  </si>
  <si>
    <t>Avg +0.20%</t>
  </si>
  <si>
    <t>S&amp;P500 +?</t>
  </si>
  <si>
    <t>2025-10-24 - Friday</t>
  </si>
  <si>
    <t>TELIA – Telia Company AB</t>
  </si>
  <si>
    <t>PCELL – PowerCell Sweden AB</t>
  </si>
  <si>
    <t>ERIC – Ericsson AB</t>
  </si>
  <si>
    <t>VOLV B – Volvo AB</t>
  </si>
  <si>
    <t>SKF‑B +0.79%</t>
  </si>
  <si>
    <t>NIBE B +0.75%</t>
  </si>
  <si>
    <t>Addtech AB B +3.87%</t>
  </si>
  <si>
    <t>Trelleborg AB B +0.47%</t>
  </si>
  <si>
    <t>AAK AB +0.47%</t>
  </si>
  <si>
    <t>2025-10-25 - Saturday</t>
  </si>
  <si>
    <t>MSFT – Microsoft Corp.</t>
  </si>
  <si>
    <t>SAND – Sandstorm Gold Ltd.</t>
  </si>
  <si>
    <t>S&amp;P500 +0.80%</t>
  </si>
  <si>
    <t>2025-10-26 - Sunday</t>
  </si>
  <si>
    <t>ADS – Adidas AG</t>
  </si>
  <si>
    <t>2025-10-27 - Monday</t>
  </si>
  <si>
    <t>NVIDIA – NVIDIA Corp.</t>
  </si>
  <si>
    <t>EXXON – Exxon Mobil Corp.</t>
  </si>
  <si>
    <t>AAPL +1.25%</t>
  </si>
  <si>
    <t>MSFT +0.59%</t>
  </si>
  <si>
    <t>TELIA N/A</t>
  </si>
  <si>
    <t>NVIDIA N/A</t>
  </si>
  <si>
    <t>EXXON N/A</t>
  </si>
  <si>
    <t>Avg +0.92%</t>
  </si>
  <si>
    <t>S&amp;P500 +0.79%</t>
  </si>
  <si>
    <t>2025-10-28 - Tuesday</t>
  </si>
  <si>
    <t>GOOGL – Alphabet Inc.</t>
  </si>
  <si>
    <t>AAPL +X.XX%</t>
  </si>
  <si>
    <t>MSFT +X.XX%</t>
  </si>
  <si>
    <t>GOOGL +X.XX%</t>
  </si>
  <si>
    <t>TSLA +X.XX%</t>
  </si>
  <si>
    <t>TELIA +X.XX%</t>
  </si>
  <si>
    <t>Avg +X.XX%</t>
  </si>
  <si>
    <t>2025‑10‑29 - Wednesday</t>
  </si>
  <si>
    <t>ASML – ASML Holding NV</t>
  </si>
  <si>
    <t>VOLV B – Volvo AB B‑share</t>
  </si>
  <si>
    <t>BABA – Alibaba Group Holding Ltd</t>
  </si>
  <si>
    <t>AAPL +0.75%</t>
  </si>
  <si>
    <t>MSFT +1.10%</t>
  </si>
  <si>
    <t>ASML +0.65%</t>
  </si>
  <si>
    <t>VOLV B +0.50%</t>
  </si>
  <si>
    <t>BABA +0.95%</t>
  </si>
  <si>
    <t>Avg +0.79%</t>
  </si>
  <si>
    <t>S&amp;P500 +0.40%</t>
  </si>
  <si>
    <t>2025-10-30 - Thursday</t>
  </si>
  <si>
    <t>TER – Teradyne Inc.</t>
  </si>
  <si>
    <t>W – Wayfair Inc.</t>
  </si>
  <si>
    <t>AVGO – Broadcom Inc.</t>
  </si>
  <si>
    <t>S&amp;P500 +0.20% nypost.com+1</t>
  </si>
  <si>
    <t>2025-10-31 - Friday</t>
  </si>
  <si>
    <t>VOLV B – Volvo AB Class B</t>
  </si>
  <si>
    <t>BA – Boeing Co.</t>
  </si>
  <si>
    <t>S&amp;P500 +0.25%</t>
  </si>
  <si>
    <t>2025-11-01 - Saturday</t>
  </si>
  <si>
    <t>AMZN – Amazon.com Inc</t>
  </si>
  <si>
    <t>AAPL – Apple Inc</t>
  </si>
  <si>
    <t>EQTAB.ST – EQT AB Class B</t>
  </si>
  <si>
    <t>CAT – Caterpillar Inc</t>
  </si>
  <si>
    <t>GOOGL – Alphabet Inc</t>
  </si>
  <si>
    <t>S&amp;P500 +2.30% Reuters+3Reuters+3Kiplinger+3</t>
  </si>
  <si>
    <t>2025-11-02 - Sunday</t>
  </si>
  <si>
    <t>EQTAB.ST – EQT AB Class B (Sweden)</t>
  </si>
  <si>
    <t>MSFT – Microsoft Corporation</t>
  </si>
  <si>
    <t>NVDA – NVIDIA Corporation</t>
  </si>
  <si>
    <t>JNJ – Johnson &amp; Johnson</t>
  </si>
  <si>
    <t>XOM – Exxon Mobil Corporation</t>
  </si>
  <si>
    <t>S&amp;P500 +1.00% The Economic Times+1</t>
  </si>
  <si>
    <t>2025-11-03 - Monday</t>
  </si>
  <si>
    <t>SAAB B.ST – Saab AB</t>
  </si>
  <si>
    <t>SAVE.ST – Nordnet AB</t>
  </si>
  <si>
    <t>EQTAB.ST – EQT AB Class B</t>
  </si>
  <si>
    <t>ERIC B.ST – Ericsson AB</t>
  </si>
  <si>
    <t>S&amp;P500 +0.36%</t>
  </si>
  <si>
    <t>2025-11-04 - Tuesday</t>
  </si>
  <si>
    <t>VRTX – Vertex Pharmaceuticals</t>
  </si>
  <si>
    <t>DELL – Dell Technologies Inc.</t>
  </si>
  <si>
    <t>TELIA.ST – Telia Company</t>
  </si>
  <si>
    <t>S&amp;P500 +0.20%</t>
  </si>
  <si>
    <t>2025-10-14 - Tuesday</t>
  </si>
  <si>
    <t>AMD – Advanced Micro Devices, Inc.</t>
  </si>
  <si>
    <t>MP – MP Materials Corp.</t>
  </si>
  <si>
    <t>SAAB-B.ST -3.76%</t>
  </si>
  <si>
    <t>EVO.ST +1.60%</t>
  </si>
  <si>
    <t>ERIC -0.85%</t>
  </si>
  <si>
    <t>ORCL +5.16%</t>
  </si>
  <si>
    <t>MP +21.31%</t>
  </si>
  <si>
    <t>Avg +4.69%</t>
  </si>
  <si>
    <t>2025-10-16 - Thursday</t>
  </si>
  <si>
    <t>VOLV-B.ST – Volvo</t>
  </si>
  <si>
    <t>NIBE-B.ST – Nibe Industrier</t>
  </si>
  <si>
    <t>SPOT – Spotify Technology</t>
  </si>
  <si>
    <t>TSLA – Tesla</t>
  </si>
  <si>
    <t>SHEL – Shell</t>
  </si>
  <si>
    <t>VOLV-B.ST +0.84%</t>
  </si>
  <si>
    <t>SEB-A.ST -0.42%</t>
  </si>
  <si>
    <t>NVDA +2.91%</t>
  </si>
  <si>
    <t>SHEL +0.55%</t>
  </si>
  <si>
    <t>ABB -0.63%</t>
  </si>
  <si>
    <t>Avg +0.65%</t>
  </si>
  <si>
    <t>2025-10-18 - Saturday</t>
  </si>
  <si>
    <t>ERIC – Ericsson</t>
  </si>
  <si>
    <t>SAND.ST – Sandvik</t>
  </si>
  <si>
    <t>AAPL – Apple</t>
  </si>
  <si>
    <t>RIO – Rio Tinto</t>
  </si>
  <si>
    <t>ORCL – Oracle</t>
  </si>
  <si>
    <t>VOLV-B.ST +0.45%</t>
  </si>
  <si>
    <t>NIBE-B.ST -0.32%</t>
  </si>
  <si>
    <t>SPOT +1.15%</t>
  </si>
  <si>
    <t>TSLA -0.88%</t>
  </si>
  <si>
    <t>SHEL +0.27%</t>
  </si>
  <si>
    <t>Avg +0.13%</t>
  </si>
  <si>
    <t>2025-10-19 - Sunday</t>
  </si>
  <si>
    <t>SKF-B.ST – SKF</t>
  </si>
  <si>
    <t>EVO.ST – Evolution AB</t>
  </si>
  <si>
    <t>MSFT – Microsoft</t>
  </si>
  <si>
    <t>NVO – Novo Nordisk</t>
  </si>
  <si>
    <t>BP – BP Plc</t>
  </si>
  <si>
    <t>ERIC +0.42%</t>
  </si>
  <si>
    <t>SAND.ST -0.55%</t>
  </si>
  <si>
    <t>AAPL +1.18%</t>
  </si>
  <si>
    <t>RIO -0.33%</t>
  </si>
  <si>
    <t>ORCL +0.27%</t>
  </si>
  <si>
    <t>2025-10-21 - Tuesday</t>
  </si>
  <si>
    <t>SKFb +0.56%</t>
  </si>
  <si>
    <t>EVO.ST -0.49%</t>
  </si>
  <si>
    <t>MSFT +1.12%</t>
  </si>
  <si>
    <t>NVO +0.88%</t>
  </si>
  <si>
    <t>BP +0.34%</t>
  </si>
  <si>
    <t>Avg +0.48%</t>
  </si>
  <si>
    <t>2025-10-22 - Wednesday</t>
  </si>
  <si>
    <t>SHB A – Handelsbanken</t>
  </si>
  <si>
    <t>SAABB – Saab AB</t>
  </si>
  <si>
    <t>SSAB A – SSAB AB</t>
  </si>
  <si>
    <t>SHEL – Shell plc</t>
  </si>
  <si>
    <t>This automation has been paused due to too many unread executions. You can resume it in automations settings or by asking ChatGPT.</t>
  </si>
  <si>
    <t>GEV - GE Vernova Inc (breakout after strong catalyst and technical momentum)Investors+1</t>
  </si>
  <si>
    <t>PLTR - Palantir Technologies (recent contract win and positive flow)Barron's</t>
  </si>
  <si>
    <t>SATS - EchoStar Corp (premarket strength and sector interest)Barron's</t>
  </si>
  <si>
    <t>AVTR - Avantor Inc (premarket gains signaling momentum)Barron's</t>
  </si>
  <si>
    <t>FSLR - First Solar (sector news on project supply momentum)Simply Wall St</t>
  </si>
  <si>
    <t>Prev days return S&amp;P500 +0.67%investing.com</t>
  </si>
  <si>
    <t>2025‑12‑12 / 08:15 - Friday</t>
  </si>
  <si>
    <t>NVDA - Nvidia (momentum from AI demand and trading strength)</t>
  </si>
  <si>
    <t>MSFT - Microsoft (strong cloud earnings sentiment driving flow)</t>
  </si>
  <si>
    <t>TSLA - Tesla (price breakout and volume spike)</t>
  </si>
  <si>
    <t>BAC - Bank of America (financials strength on rates outlook)</t>
  </si>
  <si>
    <t>XOM - Exxon Mobil (energy sector rebound)</t>
  </si>
  <si>
    <t>Prev days return S&amp;P500 +0.30%</t>
  </si>
  <si>
    <t>2025‑12‑13 / 08:15 - Saturday</t>
  </si>
  <si>
    <t>COIN - Coinbase Global Inc (crypto‑equity trading interest rising)TS2 Tech</t>
  </si>
  <si>
    <t>CVX - Chevron Corp (analyst forecasts and capex catalyst)TS2 Tech</t>
  </si>
  <si>
    <t>CRON - Cronos Group Inc (cannabis sector buzz on rescheduling)TS2 Tech</t>
  </si>
  <si>
    <t>INTU - Intuit Inc (AI and targets ahead of earnings)TS2 Tech</t>
  </si>
  <si>
    <t>ALNT - Allient Corp (bullish industrial tech signal)Investors</t>
  </si>
  <si>
    <t>Prev days return S&amp;P500 ‑1.07%investing.com</t>
  </si>
  <si>
    <t>2025‑12‑14 / 08:15 - Sunday</t>
  </si>
  <si>
    <t>TSLA - Tesla Inc (momentum from positive technical and product catalysts)Investors.com</t>
  </si>
  <si>
    <t>GE - GE Aerospace (industrial strength and near buy point on recent flow)Investors.com</t>
  </si>
  <si>
    <t>LLY - Eli Lilly &amp; Co (healthcare resilience and data‑driven upside)Investors.com</t>
  </si>
  <si>
    <t>JPM - JPMorgan Chase &amp; Co (financials strength amid rotation)Investors.com</t>
  </si>
  <si>
    <t>WBD - Warner Bros Discovery (takeover bid driving elevated activity)The Guardian</t>
  </si>
  <si>
    <t>Prev days return S&amp;P500 ‑1.07%reuters.com</t>
  </si>
  <si>
    <t>2025-12-15 / 08:15 - Monday</t>
  </si>
  <si>
    <t>BAC – Bank of America Corp (record highs and Fed rate cut narrative driving financial flows) TechStock²</t>
  </si>
  <si>
    <t>WBD – Warner Bros Discovery (takeover battle boosting share activity) The Guardian+1</t>
  </si>
  <si>
    <t>IBM – International Business Machines (acquisition news lifting tech sentiment) Barron's</t>
  </si>
  <si>
    <t>COIN – Coinbase Global Inc (crypto-linked equities moving with Bitcoin strength) Barron's</t>
  </si>
  <si>
    <t>CRH – CRH plc (S&amp;P 500 inclusion announcement lifting name) Barron's</t>
  </si>
  <si>
    <t>Prev days return S&amp;P500 -1.07</t>
  </si>
  <si>
    <t>Date</t>
  </si>
  <si>
    <t>String</t>
  </si>
  <si>
    <t>Is date?</t>
  </si>
  <si>
    <t>Rec 1</t>
  </si>
  <si>
    <t>Rec 2</t>
  </si>
  <si>
    <t>Rec 3</t>
  </si>
  <si>
    <t>Rec 4</t>
  </si>
  <si>
    <t>Rec 5</t>
  </si>
  <si>
    <t>For a short term trade, to be opened in the morning and closed at end of day, search for the latest major global news. Recommend EXACTLY 5 BUY tickers for short-term trade based on whatever you think is relevant. add very short reasoning after the recommendation.</t>
  </si>
  <si>
    <t>Start with one line containing the local date and day of week in Stockholm time formatted exactly as:</t>
  </si>
  <si>
    <t>YYYY-MM-DD / HH:MM - Monday</t>
  </si>
  <si>
    <t>TICKER – Company (short reasoning)</t>
  </si>
  <si>
    <t>Used to be: FRESH CATALYSTS AND MOMENTUM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</si>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</sst>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19BC-D2E6-40D8-9EAF-9A1B1FA1031F}">
  <sheetPr>
    <tabColor theme="9" tint="0.79998168889431442"/>
  </sheetPr>
  <dimension ref="A1:A529"/>
  <sheetViews>
    <sheetView topLeftCell="A458" workbookViewId="0">
      <selection activeCell="C21" sqref="C21"/>
    </sheetView>
  </sheetViews>
  <sheetFormatPr defaultRowHeight="14.5" x14ac:dyDescent="0.35"/>
  <cols>
    <col min="1" max="1" width="40" bestFit="1" customWidth="1"/>
  </cols>
  <sheetData>
    <row r="1" spans="1:1" x14ac:dyDescent="0.35">
      <c r="A1" t="s">
        <v>168</v>
      </c>
    </row>
    <row r="2" spans="1:1" x14ac:dyDescent="0.35">
      <c r="A2" t="s">
        <v>1</v>
      </c>
    </row>
    <row r="3" spans="1:1" x14ac:dyDescent="0.35">
      <c r="A3" t="s">
        <v>24</v>
      </c>
    </row>
    <row r="4" spans="1:1" x14ac:dyDescent="0.35">
      <c r="A4" t="s">
        <v>36</v>
      </c>
    </row>
    <row r="5" spans="1:1" x14ac:dyDescent="0.35">
      <c r="A5" t="s">
        <v>126</v>
      </c>
    </row>
    <row r="6" spans="1:1" x14ac:dyDescent="0.35">
      <c r="A6" t="s">
        <v>169</v>
      </c>
    </row>
    <row r="7" spans="1:1" x14ac:dyDescent="0.35">
      <c r="A7" t="s">
        <v>170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8</v>
      </c>
    </row>
    <row r="11" spans="1:1" x14ac:dyDescent="0.35">
      <c r="A11" t="s">
        <v>8</v>
      </c>
    </row>
    <row r="12" spans="1:1" x14ac:dyDescent="0.35">
      <c r="A12" t="s">
        <v>8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171</v>
      </c>
    </row>
    <row r="17" spans="1:1" x14ac:dyDescent="0.35">
      <c r="A17" t="s">
        <v>77</v>
      </c>
    </row>
    <row r="18" spans="1:1" x14ac:dyDescent="0.35">
      <c r="A18" t="s">
        <v>1</v>
      </c>
    </row>
    <row r="19" spans="1:1" x14ac:dyDescent="0.35">
      <c r="A19" t="s">
        <v>78</v>
      </c>
    </row>
    <row r="20" spans="1:1" x14ac:dyDescent="0.35">
      <c r="A20" t="s">
        <v>79</v>
      </c>
    </row>
    <row r="21" spans="1:1" x14ac:dyDescent="0.35">
      <c r="A21" t="s">
        <v>80</v>
      </c>
    </row>
    <row r="22" spans="1:1" x14ac:dyDescent="0.35">
      <c r="A22" t="s">
        <v>81</v>
      </c>
    </row>
    <row r="23" spans="1:1" x14ac:dyDescent="0.35">
      <c r="A23" t="s">
        <v>82</v>
      </c>
    </row>
    <row r="24" spans="1:1" x14ac:dyDescent="0.35">
      <c r="A24" t="s">
        <v>7</v>
      </c>
    </row>
    <row r="25" spans="1:1" x14ac:dyDescent="0.35">
      <c r="A25" t="s">
        <v>8</v>
      </c>
    </row>
    <row r="27" spans="1:1" x14ac:dyDescent="0.35">
      <c r="A27" t="s">
        <v>83</v>
      </c>
    </row>
    <row r="28" spans="1:1" x14ac:dyDescent="0.35">
      <c r="A28" t="s">
        <v>1</v>
      </c>
    </row>
    <row r="29" spans="1:1" x14ac:dyDescent="0.35">
      <c r="A29" t="s">
        <v>80</v>
      </c>
    </row>
    <row r="30" spans="1:1" x14ac:dyDescent="0.35">
      <c r="A30" t="s">
        <v>79</v>
      </c>
    </row>
    <row r="31" spans="1:1" x14ac:dyDescent="0.35">
      <c r="A31" t="s">
        <v>81</v>
      </c>
    </row>
    <row r="32" spans="1:1" x14ac:dyDescent="0.35">
      <c r="A32" t="s">
        <v>82</v>
      </c>
    </row>
    <row r="33" spans="1:1" x14ac:dyDescent="0.35">
      <c r="A33" t="s">
        <v>84</v>
      </c>
    </row>
    <row r="34" spans="1:1" x14ac:dyDescent="0.35">
      <c r="A34" t="s">
        <v>7</v>
      </c>
    </row>
    <row r="35" spans="1:1" x14ac:dyDescent="0.35">
      <c r="A35" t="s">
        <v>85</v>
      </c>
    </row>
    <row r="36" spans="1:1" x14ac:dyDescent="0.35">
      <c r="A36" t="s">
        <v>86</v>
      </c>
    </row>
    <row r="37" spans="1:1" x14ac:dyDescent="0.35">
      <c r="A37" t="s">
        <v>87</v>
      </c>
    </row>
    <row r="38" spans="1:1" x14ac:dyDescent="0.35">
      <c r="A38" t="s">
        <v>88</v>
      </c>
    </row>
    <row r="39" spans="1:1" x14ac:dyDescent="0.35">
      <c r="A39" t="s">
        <v>89</v>
      </c>
    </row>
    <row r="40" spans="1:1" x14ac:dyDescent="0.35">
      <c r="A40" t="s">
        <v>9</v>
      </c>
    </row>
    <row r="41" spans="1:1" x14ac:dyDescent="0.35">
      <c r="A41" t="s">
        <v>10</v>
      </c>
    </row>
    <row r="43" spans="1:1" x14ac:dyDescent="0.35">
      <c r="A43" t="s">
        <v>90</v>
      </c>
    </row>
    <row r="44" spans="1:1" x14ac:dyDescent="0.35">
      <c r="A44" t="s">
        <v>1</v>
      </c>
    </row>
    <row r="45" spans="1:1" x14ac:dyDescent="0.35">
      <c r="A45" t="s">
        <v>91</v>
      </c>
    </row>
    <row r="46" spans="1:1" x14ac:dyDescent="0.35">
      <c r="A46" t="s">
        <v>92</v>
      </c>
    </row>
    <row r="47" spans="1:1" x14ac:dyDescent="0.35">
      <c r="A47" t="s">
        <v>93</v>
      </c>
    </row>
    <row r="48" spans="1:1" x14ac:dyDescent="0.35">
      <c r="A48" t="s">
        <v>94</v>
      </c>
    </row>
    <row r="49" spans="1:1" x14ac:dyDescent="0.35">
      <c r="A49" t="s">
        <v>38</v>
      </c>
    </row>
    <row r="50" spans="1:1" x14ac:dyDescent="0.35">
      <c r="A50" t="s">
        <v>7</v>
      </c>
    </row>
    <row r="51" spans="1:1" x14ac:dyDescent="0.35">
      <c r="A51" t="s">
        <v>86</v>
      </c>
    </row>
    <row r="52" spans="1:1" x14ac:dyDescent="0.35">
      <c r="A52" t="s">
        <v>89</v>
      </c>
    </row>
    <row r="53" spans="1:1" x14ac:dyDescent="0.35">
      <c r="A53" t="s">
        <v>87</v>
      </c>
    </row>
    <row r="54" spans="1:1" x14ac:dyDescent="0.35">
      <c r="A54" t="s">
        <v>88</v>
      </c>
    </row>
    <row r="55" spans="1:1" x14ac:dyDescent="0.35">
      <c r="A55" t="s">
        <v>95</v>
      </c>
    </row>
    <row r="56" spans="1:1" x14ac:dyDescent="0.35">
      <c r="A56" t="s">
        <v>9</v>
      </c>
    </row>
    <row r="57" spans="1:1" x14ac:dyDescent="0.35">
      <c r="A57" t="s">
        <v>10</v>
      </c>
    </row>
    <row r="59" spans="1:1" x14ac:dyDescent="0.35">
      <c r="A59" t="s">
        <v>96</v>
      </c>
    </row>
    <row r="60" spans="1:1" x14ac:dyDescent="0.35">
      <c r="A60" t="s">
        <v>1</v>
      </c>
    </row>
    <row r="61" spans="1:1" x14ac:dyDescent="0.35">
      <c r="A61" t="s">
        <v>91</v>
      </c>
    </row>
    <row r="62" spans="1:1" x14ac:dyDescent="0.35">
      <c r="A62" t="s">
        <v>97</v>
      </c>
    </row>
    <row r="63" spans="1:1" x14ac:dyDescent="0.35">
      <c r="A63" t="s">
        <v>98</v>
      </c>
    </row>
    <row r="64" spans="1:1" x14ac:dyDescent="0.35">
      <c r="A64" t="s">
        <v>99</v>
      </c>
    </row>
    <row r="65" spans="1:1" x14ac:dyDescent="0.35">
      <c r="A65" t="s">
        <v>100</v>
      </c>
    </row>
    <row r="66" spans="1:1" x14ac:dyDescent="0.35">
      <c r="A66" t="s">
        <v>7</v>
      </c>
    </row>
    <row r="67" spans="1:1" x14ac:dyDescent="0.35">
      <c r="A67" t="s">
        <v>86</v>
      </c>
    </row>
    <row r="68" spans="1:1" x14ac:dyDescent="0.35">
      <c r="A68" t="s">
        <v>89</v>
      </c>
    </row>
    <row r="69" spans="1:1" x14ac:dyDescent="0.35">
      <c r="A69" t="s">
        <v>87</v>
      </c>
    </row>
    <row r="70" spans="1:1" x14ac:dyDescent="0.35">
      <c r="A70" t="s">
        <v>88</v>
      </c>
    </row>
    <row r="71" spans="1:1" x14ac:dyDescent="0.35">
      <c r="A71" t="s">
        <v>95</v>
      </c>
    </row>
    <row r="72" spans="1:1" x14ac:dyDescent="0.35">
      <c r="A72" t="s">
        <v>9</v>
      </c>
    </row>
    <row r="73" spans="1:1" x14ac:dyDescent="0.35">
      <c r="A73" t="s">
        <v>10</v>
      </c>
    </row>
    <row r="75" spans="1:1" x14ac:dyDescent="0.35">
      <c r="A75" t="s">
        <v>101</v>
      </c>
    </row>
    <row r="76" spans="1:1" x14ac:dyDescent="0.35">
      <c r="A76" t="s">
        <v>1</v>
      </c>
    </row>
    <row r="77" spans="1:1" x14ac:dyDescent="0.35">
      <c r="A77" t="s">
        <v>102</v>
      </c>
    </row>
    <row r="78" spans="1:1" x14ac:dyDescent="0.35">
      <c r="A78" t="s">
        <v>103</v>
      </c>
    </row>
    <row r="79" spans="1:1" x14ac:dyDescent="0.35">
      <c r="A79" t="s">
        <v>104</v>
      </c>
    </row>
    <row r="80" spans="1:1" x14ac:dyDescent="0.35">
      <c r="A80" t="s">
        <v>105</v>
      </c>
    </row>
    <row r="81" spans="1:1" x14ac:dyDescent="0.35">
      <c r="A81" t="s">
        <v>106</v>
      </c>
    </row>
    <row r="82" spans="1:1" x14ac:dyDescent="0.35">
      <c r="A82" t="s">
        <v>7</v>
      </c>
    </row>
    <row r="83" spans="1:1" x14ac:dyDescent="0.35">
      <c r="A83" t="s">
        <v>107</v>
      </c>
    </row>
    <row r="84" spans="1:1" x14ac:dyDescent="0.35">
      <c r="A84" t="s">
        <v>108</v>
      </c>
    </row>
    <row r="85" spans="1:1" x14ac:dyDescent="0.35">
      <c r="A85" t="s">
        <v>109</v>
      </c>
    </row>
    <row r="86" spans="1:1" x14ac:dyDescent="0.35">
      <c r="A86" t="s">
        <v>110</v>
      </c>
    </row>
    <row r="87" spans="1:1" x14ac:dyDescent="0.35">
      <c r="A87" t="s">
        <v>111</v>
      </c>
    </row>
    <row r="88" spans="1:1" x14ac:dyDescent="0.35">
      <c r="A88" t="s">
        <v>9</v>
      </c>
    </row>
    <row r="89" spans="1:1" x14ac:dyDescent="0.35">
      <c r="A89" t="s">
        <v>10</v>
      </c>
    </row>
    <row r="90" spans="1:1" x14ac:dyDescent="0.35">
      <c r="A90" t="s">
        <v>172</v>
      </c>
    </row>
    <row r="91" spans="1:1" x14ac:dyDescent="0.35">
      <c r="A91" t="s">
        <v>1</v>
      </c>
    </row>
    <row r="92" spans="1:1" x14ac:dyDescent="0.35">
      <c r="A92" t="s">
        <v>173</v>
      </c>
    </row>
    <row r="93" spans="1:1" x14ac:dyDescent="0.35">
      <c r="A93" t="s">
        <v>174</v>
      </c>
    </row>
    <row r="94" spans="1:1" x14ac:dyDescent="0.35">
      <c r="A94" t="s">
        <v>175</v>
      </c>
    </row>
    <row r="95" spans="1:1" x14ac:dyDescent="0.35">
      <c r="A95" t="s">
        <v>176</v>
      </c>
    </row>
    <row r="96" spans="1:1" x14ac:dyDescent="0.35">
      <c r="A96" t="s">
        <v>177</v>
      </c>
    </row>
    <row r="97" spans="1:1" x14ac:dyDescent="0.35">
      <c r="A97" t="s">
        <v>7</v>
      </c>
    </row>
    <row r="98" spans="1:1" x14ac:dyDescent="0.35">
      <c r="A98" t="s">
        <v>178</v>
      </c>
    </row>
    <row r="99" spans="1:1" x14ac:dyDescent="0.35">
      <c r="A99" t="s">
        <v>179</v>
      </c>
    </row>
    <row r="100" spans="1:1" x14ac:dyDescent="0.35">
      <c r="A100" t="s">
        <v>180</v>
      </c>
    </row>
    <row r="101" spans="1:1" x14ac:dyDescent="0.35">
      <c r="A101" t="s">
        <v>181</v>
      </c>
    </row>
    <row r="102" spans="1:1" x14ac:dyDescent="0.35">
      <c r="A102" t="s">
        <v>182</v>
      </c>
    </row>
    <row r="103" spans="1:1" x14ac:dyDescent="0.35">
      <c r="A103" t="s">
        <v>183</v>
      </c>
    </row>
    <row r="104" spans="1:1" x14ac:dyDescent="0.35">
      <c r="A104" t="s">
        <v>184</v>
      </c>
    </row>
    <row r="106" spans="1:1" x14ac:dyDescent="0.35">
      <c r="A106" t="s">
        <v>185</v>
      </c>
    </row>
    <row r="107" spans="1:1" x14ac:dyDescent="0.35">
      <c r="A107" t="s">
        <v>1</v>
      </c>
    </row>
    <row r="108" spans="1:1" x14ac:dyDescent="0.35">
      <c r="A108" t="s">
        <v>186</v>
      </c>
    </row>
    <row r="109" spans="1:1" x14ac:dyDescent="0.35">
      <c r="A109" t="s">
        <v>187</v>
      </c>
    </row>
    <row r="110" spans="1:1" x14ac:dyDescent="0.35">
      <c r="A110" t="s">
        <v>177</v>
      </c>
    </row>
    <row r="111" spans="1:1" x14ac:dyDescent="0.35">
      <c r="A111" t="s">
        <v>188</v>
      </c>
    </row>
    <row r="112" spans="1:1" x14ac:dyDescent="0.35">
      <c r="A112" t="s">
        <v>189</v>
      </c>
    </row>
    <row r="113" spans="1:1" x14ac:dyDescent="0.35">
      <c r="A113" t="s">
        <v>7</v>
      </c>
    </row>
    <row r="114" spans="1:1" x14ac:dyDescent="0.35">
      <c r="A114" t="s">
        <v>190</v>
      </c>
    </row>
    <row r="115" spans="1:1" x14ac:dyDescent="0.35">
      <c r="A115" t="s">
        <v>191</v>
      </c>
    </row>
    <row r="116" spans="1:1" x14ac:dyDescent="0.35">
      <c r="A116" t="s">
        <v>192</v>
      </c>
    </row>
    <row r="117" spans="1:1" x14ac:dyDescent="0.35">
      <c r="A117" t="s">
        <v>193</v>
      </c>
    </row>
    <row r="118" spans="1:1" x14ac:dyDescent="0.35">
      <c r="A118" t="s">
        <v>194</v>
      </c>
    </row>
    <row r="119" spans="1:1" x14ac:dyDescent="0.35">
      <c r="A119" t="s">
        <v>21</v>
      </c>
    </row>
    <row r="120" spans="1:1" x14ac:dyDescent="0.35">
      <c r="A120" t="s">
        <v>124</v>
      </c>
    </row>
    <row r="122" spans="1:1" x14ac:dyDescent="0.35">
      <c r="A122" t="s">
        <v>195</v>
      </c>
    </row>
    <row r="123" spans="1:1" x14ac:dyDescent="0.35">
      <c r="A123" t="s">
        <v>1</v>
      </c>
    </row>
    <row r="124" spans="1:1" x14ac:dyDescent="0.35">
      <c r="A124" t="s">
        <v>12</v>
      </c>
    </row>
    <row r="125" spans="1:1" x14ac:dyDescent="0.35">
      <c r="A125" t="s">
        <v>196</v>
      </c>
    </row>
    <row r="126" spans="1:1" x14ac:dyDescent="0.35">
      <c r="A126" t="s">
        <v>197</v>
      </c>
    </row>
    <row r="127" spans="1:1" x14ac:dyDescent="0.35">
      <c r="A127" t="s">
        <v>188</v>
      </c>
    </row>
    <row r="128" spans="1:1" x14ac:dyDescent="0.35">
      <c r="A128" t="s">
        <v>186</v>
      </c>
    </row>
    <row r="129" spans="1:1" x14ac:dyDescent="0.35">
      <c r="A129" t="s">
        <v>7</v>
      </c>
    </row>
    <row r="130" spans="1:1" x14ac:dyDescent="0.35">
      <c r="A130" t="s">
        <v>178</v>
      </c>
    </row>
    <row r="131" spans="1:1" x14ac:dyDescent="0.35">
      <c r="A131" t="s">
        <v>179</v>
      </c>
    </row>
    <row r="132" spans="1:1" x14ac:dyDescent="0.35">
      <c r="A132" t="s">
        <v>180</v>
      </c>
    </row>
    <row r="133" spans="1:1" x14ac:dyDescent="0.35">
      <c r="A133" t="s">
        <v>181</v>
      </c>
    </row>
    <row r="134" spans="1:1" x14ac:dyDescent="0.35">
      <c r="A134" t="s">
        <v>182</v>
      </c>
    </row>
    <row r="135" spans="1:1" x14ac:dyDescent="0.35">
      <c r="A135" t="s">
        <v>183</v>
      </c>
    </row>
    <row r="136" spans="1:1" x14ac:dyDescent="0.35">
      <c r="A136" t="s">
        <v>198</v>
      </c>
    </row>
    <row r="138" spans="1:1" x14ac:dyDescent="0.35">
      <c r="A138" t="s">
        <v>199</v>
      </c>
    </row>
    <row r="139" spans="1:1" x14ac:dyDescent="0.35">
      <c r="A139" t="s">
        <v>1</v>
      </c>
    </row>
    <row r="140" spans="1:1" x14ac:dyDescent="0.35">
      <c r="A140" t="s">
        <v>36</v>
      </c>
    </row>
    <row r="141" spans="1:1" x14ac:dyDescent="0.35">
      <c r="A141" t="s">
        <v>196</v>
      </c>
    </row>
    <row r="142" spans="1:1" x14ac:dyDescent="0.35">
      <c r="A142" t="s">
        <v>188</v>
      </c>
    </row>
    <row r="143" spans="1:1" x14ac:dyDescent="0.35">
      <c r="A143" t="s">
        <v>200</v>
      </c>
    </row>
    <row r="144" spans="1:1" x14ac:dyDescent="0.35">
      <c r="A144" t="s">
        <v>37</v>
      </c>
    </row>
    <row r="145" spans="1:1" x14ac:dyDescent="0.35">
      <c r="A145" t="s">
        <v>7</v>
      </c>
    </row>
    <row r="146" spans="1:1" x14ac:dyDescent="0.35">
      <c r="A146" t="s">
        <v>8</v>
      </c>
    </row>
    <row r="147" spans="1:1" x14ac:dyDescent="0.35">
      <c r="A147" t="s">
        <v>8</v>
      </c>
    </row>
    <row r="148" spans="1:1" x14ac:dyDescent="0.35">
      <c r="A148" t="s">
        <v>8</v>
      </c>
    </row>
    <row r="149" spans="1:1" x14ac:dyDescent="0.35">
      <c r="A149" t="s">
        <v>8</v>
      </c>
    </row>
    <row r="150" spans="1:1" x14ac:dyDescent="0.35">
      <c r="A150" t="s">
        <v>8</v>
      </c>
    </row>
    <row r="151" spans="1:1" x14ac:dyDescent="0.35">
      <c r="A151" t="s">
        <v>9</v>
      </c>
    </row>
    <row r="152" spans="1:1" x14ac:dyDescent="0.35">
      <c r="A152" t="s">
        <v>10</v>
      </c>
    </row>
    <row r="154" spans="1:1" x14ac:dyDescent="0.35">
      <c r="A154" t="s">
        <v>201</v>
      </c>
    </row>
    <row r="155" spans="1:1" x14ac:dyDescent="0.35">
      <c r="A155" t="s">
        <v>1</v>
      </c>
    </row>
    <row r="156" spans="1:1" x14ac:dyDescent="0.35">
      <c r="A156" t="s">
        <v>36</v>
      </c>
    </row>
    <row r="157" spans="1:1" x14ac:dyDescent="0.35">
      <c r="A157" t="s">
        <v>196</v>
      </c>
    </row>
    <row r="158" spans="1:1" x14ac:dyDescent="0.35">
      <c r="A158" t="s">
        <v>186</v>
      </c>
    </row>
    <row r="159" spans="1:1" x14ac:dyDescent="0.35">
      <c r="A159" t="s">
        <v>202</v>
      </c>
    </row>
    <row r="160" spans="1:1" x14ac:dyDescent="0.35">
      <c r="A160" t="s">
        <v>203</v>
      </c>
    </row>
    <row r="161" spans="1:1" x14ac:dyDescent="0.35">
      <c r="A161" t="s">
        <v>7</v>
      </c>
    </row>
    <row r="162" spans="1:1" x14ac:dyDescent="0.35">
      <c r="A162" t="s">
        <v>204</v>
      </c>
    </row>
    <row r="163" spans="1:1" x14ac:dyDescent="0.35">
      <c r="A163" t="s">
        <v>205</v>
      </c>
    </row>
    <row r="164" spans="1:1" x14ac:dyDescent="0.35">
      <c r="A164" t="s">
        <v>206</v>
      </c>
    </row>
    <row r="165" spans="1:1" x14ac:dyDescent="0.35">
      <c r="A165" t="s">
        <v>207</v>
      </c>
    </row>
    <row r="166" spans="1:1" x14ac:dyDescent="0.35">
      <c r="A166" t="s">
        <v>208</v>
      </c>
    </row>
    <row r="167" spans="1:1" x14ac:dyDescent="0.35">
      <c r="A167" t="s">
        <v>209</v>
      </c>
    </row>
    <row r="168" spans="1:1" x14ac:dyDescent="0.35">
      <c r="A168" t="s">
        <v>210</v>
      </c>
    </row>
    <row r="170" spans="1:1" x14ac:dyDescent="0.35">
      <c r="A170" t="s">
        <v>211</v>
      </c>
    </row>
    <row r="171" spans="1:1" x14ac:dyDescent="0.35">
      <c r="A171" t="s">
        <v>1</v>
      </c>
    </row>
    <row r="172" spans="1:1" x14ac:dyDescent="0.35">
      <c r="A172" t="s">
        <v>36</v>
      </c>
    </row>
    <row r="173" spans="1:1" x14ac:dyDescent="0.35">
      <c r="A173" t="s">
        <v>196</v>
      </c>
    </row>
    <row r="174" spans="1:1" x14ac:dyDescent="0.35">
      <c r="A174" t="s">
        <v>212</v>
      </c>
    </row>
    <row r="175" spans="1:1" x14ac:dyDescent="0.35">
      <c r="A175" t="s">
        <v>40</v>
      </c>
    </row>
    <row r="176" spans="1:1" x14ac:dyDescent="0.35">
      <c r="A176" t="s">
        <v>186</v>
      </c>
    </row>
    <row r="177" spans="1:1" x14ac:dyDescent="0.35">
      <c r="A177" t="s">
        <v>7</v>
      </c>
    </row>
    <row r="178" spans="1:1" x14ac:dyDescent="0.35">
      <c r="A178" t="s">
        <v>213</v>
      </c>
    </row>
    <row r="180" spans="1:1" x14ac:dyDescent="0.35">
      <c r="A180" t="s">
        <v>112</v>
      </c>
    </row>
    <row r="181" spans="1:1" x14ac:dyDescent="0.35">
      <c r="A181" t="s">
        <v>1</v>
      </c>
    </row>
    <row r="182" spans="1:1" x14ac:dyDescent="0.35">
      <c r="A182" t="s">
        <v>103</v>
      </c>
    </row>
    <row r="183" spans="1:1" x14ac:dyDescent="0.35">
      <c r="A183" t="s">
        <v>104</v>
      </c>
    </row>
    <row r="184" spans="1:1" x14ac:dyDescent="0.35">
      <c r="A184" t="s">
        <v>102</v>
      </c>
    </row>
    <row r="185" spans="1:1" x14ac:dyDescent="0.35">
      <c r="A185" t="s">
        <v>105</v>
      </c>
    </row>
    <row r="186" spans="1:1" x14ac:dyDescent="0.35">
      <c r="A186" t="s">
        <v>113</v>
      </c>
    </row>
    <row r="187" spans="1:1" x14ac:dyDescent="0.35">
      <c r="A187" t="s">
        <v>7</v>
      </c>
    </row>
    <row r="188" spans="1:1" x14ac:dyDescent="0.35">
      <c r="A188" t="s">
        <v>107</v>
      </c>
    </row>
    <row r="189" spans="1:1" x14ac:dyDescent="0.35">
      <c r="A189" t="s">
        <v>114</v>
      </c>
    </row>
    <row r="190" spans="1:1" x14ac:dyDescent="0.35">
      <c r="A190" t="s">
        <v>115</v>
      </c>
    </row>
    <row r="191" spans="1:1" x14ac:dyDescent="0.35">
      <c r="A191" t="s">
        <v>116</v>
      </c>
    </row>
    <row r="192" spans="1:1" x14ac:dyDescent="0.35">
      <c r="A192" t="s">
        <v>110</v>
      </c>
    </row>
    <row r="193" spans="1:1" x14ac:dyDescent="0.35">
      <c r="A193" t="s">
        <v>9</v>
      </c>
    </row>
    <row r="194" spans="1:1" x14ac:dyDescent="0.35">
      <c r="A194" t="s">
        <v>117</v>
      </c>
    </row>
    <row r="196" spans="1:1" x14ac:dyDescent="0.35">
      <c r="A196" t="s">
        <v>118</v>
      </c>
    </row>
    <row r="197" spans="1:1" x14ac:dyDescent="0.35">
      <c r="A197" t="s">
        <v>1</v>
      </c>
    </row>
    <row r="198" spans="1:1" x14ac:dyDescent="0.35">
      <c r="A198" t="s">
        <v>103</v>
      </c>
    </row>
    <row r="199" spans="1:1" x14ac:dyDescent="0.35">
      <c r="A199" t="s">
        <v>119</v>
      </c>
    </row>
    <row r="200" spans="1:1" x14ac:dyDescent="0.35">
      <c r="A200" t="s">
        <v>102</v>
      </c>
    </row>
    <row r="201" spans="1:1" x14ac:dyDescent="0.35">
      <c r="A201" t="s">
        <v>105</v>
      </c>
    </row>
    <row r="202" spans="1:1" x14ac:dyDescent="0.35">
      <c r="A202" t="s">
        <v>113</v>
      </c>
    </row>
    <row r="203" spans="1:1" x14ac:dyDescent="0.35">
      <c r="A203" t="s">
        <v>7</v>
      </c>
    </row>
    <row r="204" spans="1:1" x14ac:dyDescent="0.35">
      <c r="A204" t="s">
        <v>120</v>
      </c>
    </row>
    <row r="205" spans="1:1" x14ac:dyDescent="0.35">
      <c r="A205" t="s">
        <v>121</v>
      </c>
    </row>
    <row r="206" spans="1:1" x14ac:dyDescent="0.35">
      <c r="A206" t="s">
        <v>109</v>
      </c>
    </row>
    <row r="207" spans="1:1" x14ac:dyDescent="0.35">
      <c r="A207" t="s">
        <v>122</v>
      </c>
    </row>
    <row r="208" spans="1:1" x14ac:dyDescent="0.35">
      <c r="A208" t="s">
        <v>123</v>
      </c>
    </row>
    <row r="209" spans="1:1" x14ac:dyDescent="0.35">
      <c r="A209" t="s">
        <v>9</v>
      </c>
    </row>
    <row r="210" spans="1:1" x14ac:dyDescent="0.35">
      <c r="A210" t="s">
        <v>124</v>
      </c>
    </row>
    <row r="212" spans="1:1" x14ac:dyDescent="0.35">
      <c r="A212" t="s">
        <v>125</v>
      </c>
    </row>
    <row r="213" spans="1:1" x14ac:dyDescent="0.35">
      <c r="A213" t="s">
        <v>1</v>
      </c>
    </row>
    <row r="214" spans="1:1" x14ac:dyDescent="0.35">
      <c r="A214" t="s">
        <v>126</v>
      </c>
    </row>
    <row r="215" spans="1:1" x14ac:dyDescent="0.35">
      <c r="A215" t="s">
        <v>24</v>
      </c>
    </row>
    <row r="216" spans="1:1" x14ac:dyDescent="0.35">
      <c r="A216" t="s">
        <v>127</v>
      </c>
    </row>
    <row r="217" spans="1:1" x14ac:dyDescent="0.35">
      <c r="A217" t="s">
        <v>128</v>
      </c>
    </row>
    <row r="218" spans="1:1" x14ac:dyDescent="0.35">
      <c r="A218" t="s">
        <v>129</v>
      </c>
    </row>
    <row r="219" spans="1:1" x14ac:dyDescent="0.35">
      <c r="A219" t="s">
        <v>7</v>
      </c>
    </row>
    <row r="220" spans="1:1" x14ac:dyDescent="0.35">
      <c r="A220" t="s">
        <v>120</v>
      </c>
    </row>
    <row r="221" spans="1:1" x14ac:dyDescent="0.35">
      <c r="A221" t="s">
        <v>121</v>
      </c>
    </row>
    <row r="222" spans="1:1" x14ac:dyDescent="0.35">
      <c r="A222" t="s">
        <v>109</v>
      </c>
    </row>
    <row r="223" spans="1:1" x14ac:dyDescent="0.35">
      <c r="A223" t="s">
        <v>122</v>
      </c>
    </row>
    <row r="224" spans="1:1" x14ac:dyDescent="0.35">
      <c r="A224" t="s">
        <v>123</v>
      </c>
    </row>
    <row r="225" spans="1:1" x14ac:dyDescent="0.35">
      <c r="A225" t="s">
        <v>9</v>
      </c>
    </row>
    <row r="226" spans="1:1" x14ac:dyDescent="0.35">
      <c r="A226" t="s">
        <v>124</v>
      </c>
    </row>
    <row r="228" spans="1:1" x14ac:dyDescent="0.35">
      <c r="A228" t="s">
        <v>130</v>
      </c>
    </row>
    <row r="229" spans="1:1" x14ac:dyDescent="0.35">
      <c r="A229" t="s">
        <v>1</v>
      </c>
    </row>
    <row r="230" spans="1:1" x14ac:dyDescent="0.35">
      <c r="A230" t="s">
        <v>131</v>
      </c>
    </row>
    <row r="231" spans="1:1" x14ac:dyDescent="0.35">
      <c r="A231" t="s">
        <v>126</v>
      </c>
    </row>
    <row r="232" spans="1:1" x14ac:dyDescent="0.35">
      <c r="A232" t="s">
        <v>24</v>
      </c>
    </row>
    <row r="233" spans="1:1" x14ac:dyDescent="0.35">
      <c r="A233" t="s">
        <v>132</v>
      </c>
    </row>
    <row r="234" spans="1:1" x14ac:dyDescent="0.35">
      <c r="A234" t="s">
        <v>113</v>
      </c>
    </row>
    <row r="235" spans="1:1" x14ac:dyDescent="0.35">
      <c r="A235" t="s">
        <v>7</v>
      </c>
    </row>
    <row r="236" spans="1:1" x14ac:dyDescent="0.35">
      <c r="A236" t="s">
        <v>120</v>
      </c>
    </row>
    <row r="237" spans="1:1" x14ac:dyDescent="0.35">
      <c r="A237" t="s">
        <v>121</v>
      </c>
    </row>
    <row r="238" spans="1:1" x14ac:dyDescent="0.35">
      <c r="A238" t="s">
        <v>109</v>
      </c>
    </row>
    <row r="239" spans="1:1" x14ac:dyDescent="0.35">
      <c r="A239" t="s">
        <v>122</v>
      </c>
    </row>
    <row r="240" spans="1:1" x14ac:dyDescent="0.35">
      <c r="A240" t="s">
        <v>123</v>
      </c>
    </row>
    <row r="241" spans="1:1" x14ac:dyDescent="0.35">
      <c r="A241" t="s">
        <v>9</v>
      </c>
    </row>
    <row r="242" spans="1:1" x14ac:dyDescent="0.35">
      <c r="A242" t="s">
        <v>124</v>
      </c>
    </row>
    <row r="244" spans="1:1" x14ac:dyDescent="0.35">
      <c r="A244" t="s">
        <v>133</v>
      </c>
    </row>
    <row r="245" spans="1:1" x14ac:dyDescent="0.35">
      <c r="A245" t="s">
        <v>1</v>
      </c>
    </row>
    <row r="246" spans="1:1" x14ac:dyDescent="0.35">
      <c r="A246" t="s">
        <v>126</v>
      </c>
    </row>
    <row r="247" spans="1:1" x14ac:dyDescent="0.35">
      <c r="A247" t="s">
        <v>24</v>
      </c>
    </row>
    <row r="248" spans="1:1" x14ac:dyDescent="0.35">
      <c r="A248" t="s">
        <v>134</v>
      </c>
    </row>
    <row r="249" spans="1:1" x14ac:dyDescent="0.35">
      <c r="A249" t="s">
        <v>135</v>
      </c>
    </row>
    <row r="250" spans="1:1" x14ac:dyDescent="0.35">
      <c r="A250" t="s">
        <v>136</v>
      </c>
    </row>
    <row r="251" spans="1:1" x14ac:dyDescent="0.35">
      <c r="A251" t="s">
        <v>7</v>
      </c>
    </row>
    <row r="252" spans="1:1" x14ac:dyDescent="0.35">
      <c r="A252" t="s">
        <v>137</v>
      </c>
    </row>
    <row r="253" spans="1:1" x14ac:dyDescent="0.35">
      <c r="A253" t="s">
        <v>138</v>
      </c>
    </row>
    <row r="254" spans="1:1" x14ac:dyDescent="0.35">
      <c r="A254" t="s">
        <v>139</v>
      </c>
    </row>
    <row r="255" spans="1:1" x14ac:dyDescent="0.35">
      <c r="A255" t="s">
        <v>30</v>
      </c>
    </row>
    <row r="256" spans="1:1" x14ac:dyDescent="0.35">
      <c r="A256" t="s">
        <v>123</v>
      </c>
    </row>
    <row r="257" spans="1:1" x14ac:dyDescent="0.35">
      <c r="A257" t="s">
        <v>9</v>
      </c>
    </row>
    <row r="258" spans="1:1" x14ac:dyDescent="0.35">
      <c r="A258" t="s">
        <v>140</v>
      </c>
    </row>
    <row r="260" spans="1:1" x14ac:dyDescent="0.35">
      <c r="A260" t="s">
        <v>141</v>
      </c>
    </row>
    <row r="261" spans="1:1" x14ac:dyDescent="0.35">
      <c r="A261" t="s">
        <v>1</v>
      </c>
    </row>
    <row r="262" spans="1:1" x14ac:dyDescent="0.35">
      <c r="A262" t="s">
        <v>142</v>
      </c>
    </row>
    <row r="263" spans="1:1" x14ac:dyDescent="0.35">
      <c r="A263" t="s">
        <v>143</v>
      </c>
    </row>
    <row r="264" spans="1:1" x14ac:dyDescent="0.35">
      <c r="A264" t="s">
        <v>126</v>
      </c>
    </row>
    <row r="265" spans="1:1" x14ac:dyDescent="0.35">
      <c r="A265" t="s">
        <v>24</v>
      </c>
    </row>
    <row r="266" spans="1:1" x14ac:dyDescent="0.35">
      <c r="A266" t="s">
        <v>144</v>
      </c>
    </row>
    <row r="267" spans="1:1" x14ac:dyDescent="0.35">
      <c r="A267" t="s">
        <v>7</v>
      </c>
    </row>
    <row r="268" spans="1:1" x14ac:dyDescent="0.35">
      <c r="A268" t="s">
        <v>145</v>
      </c>
    </row>
    <row r="269" spans="1:1" x14ac:dyDescent="0.35">
      <c r="A269" t="s">
        <v>146</v>
      </c>
    </row>
    <row r="270" spans="1:1" x14ac:dyDescent="0.35">
      <c r="A270" t="s">
        <v>147</v>
      </c>
    </row>
    <row r="271" spans="1:1" x14ac:dyDescent="0.35">
      <c r="A271" t="s">
        <v>148</v>
      </c>
    </row>
    <row r="272" spans="1:1" x14ac:dyDescent="0.35">
      <c r="A272" t="s">
        <v>149</v>
      </c>
    </row>
    <row r="273" spans="1:1" x14ac:dyDescent="0.35">
      <c r="A273" t="s">
        <v>150</v>
      </c>
    </row>
    <row r="274" spans="1:1" x14ac:dyDescent="0.35">
      <c r="A274" t="s">
        <v>151</v>
      </c>
    </row>
    <row r="276" spans="1:1" x14ac:dyDescent="0.35">
      <c r="A276" t="s">
        <v>152</v>
      </c>
    </row>
    <row r="277" spans="1:1" x14ac:dyDescent="0.35">
      <c r="A277" t="s">
        <v>1</v>
      </c>
    </row>
    <row r="278" spans="1:1" x14ac:dyDescent="0.35">
      <c r="A278" t="s">
        <v>36</v>
      </c>
    </row>
    <row r="279" spans="1:1" x14ac:dyDescent="0.35">
      <c r="A279" t="s">
        <v>153</v>
      </c>
    </row>
    <row r="280" spans="1:1" x14ac:dyDescent="0.35">
      <c r="A280" t="s">
        <v>154</v>
      </c>
    </row>
    <row r="281" spans="1:1" x14ac:dyDescent="0.35">
      <c r="A281" t="s">
        <v>155</v>
      </c>
    </row>
    <row r="282" spans="1:1" x14ac:dyDescent="0.35">
      <c r="A282" t="s">
        <v>156</v>
      </c>
    </row>
    <row r="283" spans="1:1" x14ac:dyDescent="0.35">
      <c r="A283" t="s">
        <v>7</v>
      </c>
    </row>
    <row r="284" spans="1:1" x14ac:dyDescent="0.35">
      <c r="A284" t="s">
        <v>138</v>
      </c>
    </row>
    <row r="285" spans="1:1" x14ac:dyDescent="0.35">
      <c r="A285" t="s">
        <v>139</v>
      </c>
    </row>
    <row r="286" spans="1:1" x14ac:dyDescent="0.35">
      <c r="A286" t="s">
        <v>147</v>
      </c>
    </row>
    <row r="287" spans="1:1" x14ac:dyDescent="0.35">
      <c r="A287" t="s">
        <v>148</v>
      </c>
    </row>
    <row r="288" spans="1:1" x14ac:dyDescent="0.35">
      <c r="A288" t="s">
        <v>149</v>
      </c>
    </row>
    <row r="289" spans="1:1" x14ac:dyDescent="0.35">
      <c r="A289" t="s">
        <v>157</v>
      </c>
    </row>
    <row r="290" spans="1:1" x14ac:dyDescent="0.35">
      <c r="A290" t="s">
        <v>158</v>
      </c>
    </row>
    <row r="292" spans="1:1" x14ac:dyDescent="0.35">
      <c r="A292" t="s">
        <v>159</v>
      </c>
    </row>
    <row r="293" spans="1:1" x14ac:dyDescent="0.35">
      <c r="A293" t="s">
        <v>1</v>
      </c>
    </row>
    <row r="294" spans="1:1" x14ac:dyDescent="0.35">
      <c r="A294" t="s">
        <v>36</v>
      </c>
    </row>
    <row r="295" spans="1:1" x14ac:dyDescent="0.35">
      <c r="A295" t="s">
        <v>153</v>
      </c>
    </row>
    <row r="296" spans="1:1" x14ac:dyDescent="0.35">
      <c r="A296" t="s">
        <v>154</v>
      </c>
    </row>
    <row r="297" spans="1:1" x14ac:dyDescent="0.35">
      <c r="A297" t="s">
        <v>264</v>
      </c>
    </row>
    <row r="298" spans="1:1" x14ac:dyDescent="0.35">
      <c r="A298" t="s">
        <v>1</v>
      </c>
    </row>
    <row r="299" spans="1:1" x14ac:dyDescent="0.35">
      <c r="A299" t="s">
        <v>3</v>
      </c>
    </row>
    <row r="300" spans="1:1" x14ac:dyDescent="0.35">
      <c r="A300" t="s">
        <v>81</v>
      </c>
    </row>
    <row r="301" spans="1:1" x14ac:dyDescent="0.35">
      <c r="A301" t="s">
        <v>5</v>
      </c>
    </row>
    <row r="302" spans="1:1" x14ac:dyDescent="0.35">
      <c r="A302" t="s">
        <v>265</v>
      </c>
    </row>
    <row r="303" spans="1:1" x14ac:dyDescent="0.35">
      <c r="A303" t="s">
        <v>266</v>
      </c>
    </row>
    <row r="304" spans="1:1" x14ac:dyDescent="0.35">
      <c r="A304" t="s">
        <v>7</v>
      </c>
    </row>
    <row r="305" spans="1:1" x14ac:dyDescent="0.35">
      <c r="A305" t="s">
        <v>267</v>
      </c>
    </row>
    <row r="306" spans="1:1" x14ac:dyDescent="0.35">
      <c r="A306" t="s">
        <v>268</v>
      </c>
    </row>
    <row r="307" spans="1:1" x14ac:dyDescent="0.35">
      <c r="A307" t="s">
        <v>269</v>
      </c>
    </row>
    <row r="308" spans="1:1" x14ac:dyDescent="0.35">
      <c r="A308" t="s">
        <v>270</v>
      </c>
    </row>
    <row r="309" spans="1:1" x14ac:dyDescent="0.35">
      <c r="A309" t="s">
        <v>271</v>
      </c>
    </row>
    <row r="310" spans="1:1" x14ac:dyDescent="0.35">
      <c r="A310" t="s">
        <v>272</v>
      </c>
    </row>
    <row r="312" spans="1:1" x14ac:dyDescent="0.35">
      <c r="A312" t="s">
        <v>273</v>
      </c>
    </row>
    <row r="313" spans="1:1" x14ac:dyDescent="0.35">
      <c r="A313" t="s">
        <v>1</v>
      </c>
    </row>
    <row r="314" spans="1:1" x14ac:dyDescent="0.35">
      <c r="A314" t="s">
        <v>274</v>
      </c>
    </row>
    <row r="315" spans="1:1" x14ac:dyDescent="0.35">
      <c r="A315" t="s">
        <v>275</v>
      </c>
    </row>
    <row r="316" spans="1:1" x14ac:dyDescent="0.35">
      <c r="A316" t="s">
        <v>276</v>
      </c>
    </row>
    <row r="317" spans="1:1" x14ac:dyDescent="0.35">
      <c r="A317" t="s">
        <v>277</v>
      </c>
    </row>
    <row r="318" spans="1:1" x14ac:dyDescent="0.35">
      <c r="A318" t="s">
        <v>278</v>
      </c>
    </row>
    <row r="319" spans="1:1" x14ac:dyDescent="0.35">
      <c r="A319" t="s">
        <v>7</v>
      </c>
    </row>
    <row r="320" spans="1:1" x14ac:dyDescent="0.35">
      <c r="A320" t="s">
        <v>279</v>
      </c>
    </row>
    <row r="321" spans="1:1" x14ac:dyDescent="0.35">
      <c r="A321" t="s">
        <v>280</v>
      </c>
    </row>
    <row r="322" spans="1:1" x14ac:dyDescent="0.35">
      <c r="A322" t="s">
        <v>281</v>
      </c>
    </row>
    <row r="323" spans="1:1" x14ac:dyDescent="0.35">
      <c r="A323" t="s">
        <v>282</v>
      </c>
    </row>
    <row r="324" spans="1:1" x14ac:dyDescent="0.35">
      <c r="A324" t="s">
        <v>283</v>
      </c>
    </row>
    <row r="325" spans="1:1" x14ac:dyDescent="0.35">
      <c r="A325" t="s">
        <v>284</v>
      </c>
    </row>
    <row r="327" spans="1:1" x14ac:dyDescent="0.35">
      <c r="A327" t="s">
        <v>285</v>
      </c>
    </row>
    <row r="328" spans="1:1" x14ac:dyDescent="0.35">
      <c r="A328" t="s">
        <v>1</v>
      </c>
    </row>
    <row r="329" spans="1:1" x14ac:dyDescent="0.35">
      <c r="A329" t="s">
        <v>286</v>
      </c>
    </row>
    <row r="330" spans="1:1" x14ac:dyDescent="0.35">
      <c r="A330" t="s">
        <v>287</v>
      </c>
    </row>
    <row r="331" spans="1:1" x14ac:dyDescent="0.35">
      <c r="A331" t="s">
        <v>288</v>
      </c>
    </row>
    <row r="332" spans="1:1" x14ac:dyDescent="0.35">
      <c r="A332" t="s">
        <v>289</v>
      </c>
    </row>
    <row r="333" spans="1:1" x14ac:dyDescent="0.35">
      <c r="A333" t="s">
        <v>290</v>
      </c>
    </row>
    <row r="334" spans="1:1" x14ac:dyDescent="0.35">
      <c r="A334" t="s">
        <v>7</v>
      </c>
    </row>
    <row r="335" spans="1:1" x14ac:dyDescent="0.35">
      <c r="A335" t="s">
        <v>291</v>
      </c>
    </row>
    <row r="336" spans="1:1" x14ac:dyDescent="0.35">
      <c r="A336" t="s">
        <v>292</v>
      </c>
    </row>
    <row r="337" spans="1:1" x14ac:dyDescent="0.35">
      <c r="A337" t="s">
        <v>293</v>
      </c>
    </row>
    <row r="338" spans="1:1" x14ac:dyDescent="0.35">
      <c r="A338" t="s">
        <v>294</v>
      </c>
    </row>
    <row r="339" spans="1:1" x14ac:dyDescent="0.35">
      <c r="A339" t="s">
        <v>295</v>
      </c>
    </row>
    <row r="340" spans="1:1" x14ac:dyDescent="0.35">
      <c r="A340" t="s">
        <v>296</v>
      </c>
    </row>
    <row r="342" spans="1:1" x14ac:dyDescent="0.35">
      <c r="A342" t="s">
        <v>297</v>
      </c>
    </row>
    <row r="343" spans="1:1" x14ac:dyDescent="0.35">
      <c r="A343" t="s">
        <v>1</v>
      </c>
    </row>
    <row r="344" spans="1:1" x14ac:dyDescent="0.35">
      <c r="A344" t="s">
        <v>298</v>
      </c>
    </row>
    <row r="345" spans="1:1" x14ac:dyDescent="0.35">
      <c r="A345" t="s">
        <v>299</v>
      </c>
    </row>
    <row r="346" spans="1:1" x14ac:dyDescent="0.35">
      <c r="A346" t="s">
        <v>300</v>
      </c>
    </row>
    <row r="347" spans="1:1" x14ac:dyDescent="0.35">
      <c r="A347" t="s">
        <v>301</v>
      </c>
    </row>
    <row r="348" spans="1:1" x14ac:dyDescent="0.35">
      <c r="A348" t="s">
        <v>302</v>
      </c>
    </row>
    <row r="349" spans="1:1" x14ac:dyDescent="0.35">
      <c r="A349" t="s">
        <v>7</v>
      </c>
    </row>
    <row r="350" spans="1:1" x14ac:dyDescent="0.35">
      <c r="A350" t="s">
        <v>303</v>
      </c>
    </row>
    <row r="351" spans="1:1" x14ac:dyDescent="0.35">
      <c r="A351" t="s">
        <v>304</v>
      </c>
    </row>
    <row r="352" spans="1:1" x14ac:dyDescent="0.35">
      <c r="A352" t="s">
        <v>305</v>
      </c>
    </row>
    <row r="353" spans="1:1" x14ac:dyDescent="0.35">
      <c r="A353" t="s">
        <v>306</v>
      </c>
    </row>
    <row r="354" spans="1:1" x14ac:dyDescent="0.35">
      <c r="A354" t="s">
        <v>307</v>
      </c>
    </row>
    <row r="355" spans="1:1" x14ac:dyDescent="0.35">
      <c r="A355" t="s">
        <v>183</v>
      </c>
    </row>
    <row r="357" spans="1:1" x14ac:dyDescent="0.35">
      <c r="A357" t="s">
        <v>308</v>
      </c>
    </row>
    <row r="358" spans="1:1" x14ac:dyDescent="0.35">
      <c r="A358" t="s">
        <v>1</v>
      </c>
    </row>
    <row r="359" spans="1:1" x14ac:dyDescent="0.35">
      <c r="A359" t="s">
        <v>288</v>
      </c>
    </row>
    <row r="360" spans="1:1" x14ac:dyDescent="0.35">
      <c r="A360" t="s">
        <v>277</v>
      </c>
    </row>
    <row r="361" spans="1:1" x14ac:dyDescent="0.35">
      <c r="A361" t="s">
        <v>278</v>
      </c>
    </row>
    <row r="362" spans="1:1" x14ac:dyDescent="0.35">
      <c r="A362" t="s">
        <v>289</v>
      </c>
    </row>
    <row r="363" spans="1:1" x14ac:dyDescent="0.35">
      <c r="A363" t="s">
        <v>286</v>
      </c>
    </row>
    <row r="364" spans="1:1" x14ac:dyDescent="0.35">
      <c r="A364" t="s">
        <v>7</v>
      </c>
    </row>
    <row r="365" spans="1:1" x14ac:dyDescent="0.35">
      <c r="A365" t="s">
        <v>309</v>
      </c>
    </row>
    <row r="366" spans="1:1" x14ac:dyDescent="0.35">
      <c r="A366" t="s">
        <v>310</v>
      </c>
    </row>
    <row r="367" spans="1:1" x14ac:dyDescent="0.35">
      <c r="A367" t="s">
        <v>311</v>
      </c>
    </row>
    <row r="368" spans="1:1" x14ac:dyDescent="0.35">
      <c r="A368" t="s">
        <v>312</v>
      </c>
    </row>
    <row r="369" spans="1:1" x14ac:dyDescent="0.35">
      <c r="A369" t="s">
        <v>313</v>
      </c>
    </row>
    <row r="370" spans="1:1" x14ac:dyDescent="0.35">
      <c r="A370" t="s">
        <v>314</v>
      </c>
    </row>
    <row r="372" spans="1:1" x14ac:dyDescent="0.35">
      <c r="A372" t="s">
        <v>315</v>
      </c>
    </row>
    <row r="373" spans="1:1" x14ac:dyDescent="0.35">
      <c r="A373" t="s">
        <v>1</v>
      </c>
    </row>
    <row r="374" spans="1:1" x14ac:dyDescent="0.35">
      <c r="A374" t="s">
        <v>316</v>
      </c>
    </row>
    <row r="375" spans="1:1" x14ac:dyDescent="0.35">
      <c r="A375" t="s">
        <v>317</v>
      </c>
    </row>
    <row r="376" spans="1:1" x14ac:dyDescent="0.35">
      <c r="A376" t="s">
        <v>318</v>
      </c>
    </row>
    <row r="377" spans="1:1" x14ac:dyDescent="0.35">
      <c r="A377" t="s">
        <v>241</v>
      </c>
    </row>
    <row r="378" spans="1:1" x14ac:dyDescent="0.35">
      <c r="A378" t="s">
        <v>319</v>
      </c>
    </row>
    <row r="379" spans="1:1" x14ac:dyDescent="0.35">
      <c r="A379" t="s">
        <v>7</v>
      </c>
    </row>
    <row r="380" spans="1:1" x14ac:dyDescent="0.35">
      <c r="A380" t="s">
        <v>178</v>
      </c>
    </row>
    <row r="381" spans="1:1" x14ac:dyDescent="0.35">
      <c r="A381" t="s">
        <v>179</v>
      </c>
    </row>
    <row r="382" spans="1:1" x14ac:dyDescent="0.35">
      <c r="A382" t="s">
        <v>180</v>
      </c>
    </row>
    <row r="383" spans="1:1" x14ac:dyDescent="0.35">
      <c r="A383" t="s">
        <v>181</v>
      </c>
    </row>
    <row r="384" spans="1:1" x14ac:dyDescent="0.35">
      <c r="A384" t="s">
        <v>182</v>
      </c>
    </row>
    <row r="385" spans="1:1" x14ac:dyDescent="0.35">
      <c r="A385" t="s">
        <v>183</v>
      </c>
    </row>
    <row r="386" spans="1:1" x14ac:dyDescent="0.35">
      <c r="A386" t="s">
        <v>214</v>
      </c>
    </row>
    <row r="387" spans="1:1" x14ac:dyDescent="0.35">
      <c r="A387" t="s">
        <v>215</v>
      </c>
    </row>
    <row r="388" spans="1:1" x14ac:dyDescent="0.35">
      <c r="A388" t="s">
        <v>216</v>
      </c>
    </row>
    <row r="389" spans="1:1" x14ac:dyDescent="0.35">
      <c r="A389" t="s">
        <v>217</v>
      </c>
    </row>
    <row r="390" spans="1:1" x14ac:dyDescent="0.35">
      <c r="A390" t="s">
        <v>218</v>
      </c>
    </row>
    <row r="391" spans="1:1" x14ac:dyDescent="0.35">
      <c r="A391" t="s">
        <v>171</v>
      </c>
    </row>
    <row r="393" spans="1:1" x14ac:dyDescent="0.35">
      <c r="A393" t="s">
        <v>219</v>
      </c>
    </row>
    <row r="394" spans="1:1" x14ac:dyDescent="0.35">
      <c r="A394" t="s">
        <v>1</v>
      </c>
    </row>
    <row r="395" spans="1:1" x14ac:dyDescent="0.35">
      <c r="A395" t="s">
        <v>36</v>
      </c>
    </row>
    <row r="396" spans="1:1" x14ac:dyDescent="0.35">
      <c r="A396" t="s">
        <v>196</v>
      </c>
    </row>
    <row r="397" spans="1:1" x14ac:dyDescent="0.35">
      <c r="A397" t="s">
        <v>220</v>
      </c>
    </row>
    <row r="398" spans="1:1" x14ac:dyDescent="0.35">
      <c r="A398" t="s">
        <v>221</v>
      </c>
    </row>
    <row r="399" spans="1:1" x14ac:dyDescent="0.35">
      <c r="A399" t="s">
        <v>222</v>
      </c>
    </row>
    <row r="400" spans="1:1" x14ac:dyDescent="0.35">
      <c r="A400" t="s">
        <v>7</v>
      </c>
    </row>
    <row r="401" spans="1:1" x14ac:dyDescent="0.35">
      <c r="A401" t="s">
        <v>223</v>
      </c>
    </row>
    <row r="402" spans="1:1" x14ac:dyDescent="0.35">
      <c r="A402" t="s">
        <v>224</v>
      </c>
    </row>
    <row r="403" spans="1:1" x14ac:dyDescent="0.35">
      <c r="A403" t="s">
        <v>225</v>
      </c>
    </row>
    <row r="404" spans="1:1" x14ac:dyDescent="0.35">
      <c r="A404" t="s">
        <v>226</v>
      </c>
    </row>
    <row r="405" spans="1:1" x14ac:dyDescent="0.35">
      <c r="A405" t="s">
        <v>227</v>
      </c>
    </row>
    <row r="406" spans="1:1" x14ac:dyDescent="0.35">
      <c r="A406" t="s">
        <v>228</v>
      </c>
    </row>
    <row r="407" spans="1:1" x14ac:dyDescent="0.35">
      <c r="A407" t="s">
        <v>229</v>
      </c>
    </row>
    <row r="409" spans="1:1" x14ac:dyDescent="0.35">
      <c r="A409" t="s">
        <v>230</v>
      </c>
    </row>
    <row r="410" spans="1:1" x14ac:dyDescent="0.35">
      <c r="A410" t="s">
        <v>1</v>
      </c>
    </row>
    <row r="411" spans="1:1" x14ac:dyDescent="0.35">
      <c r="A411" t="s">
        <v>231</v>
      </c>
    </row>
    <row r="412" spans="1:1" x14ac:dyDescent="0.35">
      <c r="A412" t="s">
        <v>154</v>
      </c>
    </row>
    <row r="413" spans="1:1" x14ac:dyDescent="0.35">
      <c r="A413" t="s">
        <v>232</v>
      </c>
    </row>
    <row r="414" spans="1:1" x14ac:dyDescent="0.35">
      <c r="A414" t="s">
        <v>233</v>
      </c>
    </row>
    <row r="415" spans="1:1" x14ac:dyDescent="0.35">
      <c r="A415" t="s">
        <v>12</v>
      </c>
    </row>
    <row r="416" spans="1:1" x14ac:dyDescent="0.35">
      <c r="A416" t="s">
        <v>7</v>
      </c>
    </row>
    <row r="417" spans="1:1" x14ac:dyDescent="0.35">
      <c r="A417" t="s">
        <v>8</v>
      </c>
    </row>
    <row r="418" spans="1:1" x14ac:dyDescent="0.35">
      <c r="A418" t="s">
        <v>8</v>
      </c>
    </row>
    <row r="419" spans="1:1" x14ac:dyDescent="0.35">
      <c r="A419" t="s">
        <v>8</v>
      </c>
    </row>
    <row r="420" spans="1:1" x14ac:dyDescent="0.35">
      <c r="A420" t="s">
        <v>8</v>
      </c>
    </row>
    <row r="421" spans="1:1" x14ac:dyDescent="0.35">
      <c r="A421" t="s">
        <v>8</v>
      </c>
    </row>
    <row r="422" spans="1:1" x14ac:dyDescent="0.35">
      <c r="A422" t="s">
        <v>9</v>
      </c>
    </row>
    <row r="423" spans="1:1" x14ac:dyDescent="0.35">
      <c r="A423" t="s">
        <v>234</v>
      </c>
    </row>
    <row r="425" spans="1:1" x14ac:dyDescent="0.35">
      <c r="A425" t="s">
        <v>235</v>
      </c>
    </row>
    <row r="426" spans="1:1" x14ac:dyDescent="0.35">
      <c r="A426" t="s">
        <v>1</v>
      </c>
    </row>
    <row r="427" spans="1:1" x14ac:dyDescent="0.35">
      <c r="A427" t="s">
        <v>196</v>
      </c>
    </row>
    <row r="428" spans="1:1" x14ac:dyDescent="0.35">
      <c r="A428" t="s">
        <v>212</v>
      </c>
    </row>
    <row r="429" spans="1:1" x14ac:dyDescent="0.35">
      <c r="A429" t="s">
        <v>236</v>
      </c>
    </row>
    <row r="430" spans="1:1" x14ac:dyDescent="0.35">
      <c r="A430" t="s">
        <v>220</v>
      </c>
    </row>
    <row r="431" spans="1:1" x14ac:dyDescent="0.35">
      <c r="A431" t="s">
        <v>237</v>
      </c>
    </row>
    <row r="432" spans="1:1" x14ac:dyDescent="0.35">
      <c r="A432" t="s">
        <v>7</v>
      </c>
    </row>
    <row r="433" spans="1:1" x14ac:dyDescent="0.35">
      <c r="A433" t="s">
        <v>8</v>
      </c>
    </row>
    <row r="434" spans="1:1" x14ac:dyDescent="0.35">
      <c r="A434" t="s">
        <v>8</v>
      </c>
    </row>
    <row r="435" spans="1:1" x14ac:dyDescent="0.35">
      <c r="A435" t="s">
        <v>8</v>
      </c>
    </row>
    <row r="436" spans="1:1" x14ac:dyDescent="0.35">
      <c r="A436" t="s">
        <v>8</v>
      </c>
    </row>
    <row r="437" spans="1:1" x14ac:dyDescent="0.35">
      <c r="A437" t="s">
        <v>8</v>
      </c>
    </row>
    <row r="438" spans="1:1" x14ac:dyDescent="0.35">
      <c r="A438" t="s">
        <v>9</v>
      </c>
    </row>
    <row r="439" spans="1:1" x14ac:dyDescent="0.35">
      <c r="A439" t="s">
        <v>238</v>
      </c>
    </row>
    <row r="441" spans="1:1" x14ac:dyDescent="0.35">
      <c r="A441" t="s">
        <v>239</v>
      </c>
    </row>
    <row r="442" spans="1:1" x14ac:dyDescent="0.35">
      <c r="A442" t="s">
        <v>1</v>
      </c>
    </row>
    <row r="443" spans="1:1" x14ac:dyDescent="0.35">
      <c r="A443" t="s">
        <v>240</v>
      </c>
    </row>
    <row r="444" spans="1:1" x14ac:dyDescent="0.35">
      <c r="A444" t="s">
        <v>241</v>
      </c>
    </row>
    <row r="445" spans="1:1" x14ac:dyDescent="0.35">
      <c r="A445" t="s">
        <v>242</v>
      </c>
    </row>
    <row r="446" spans="1:1" x14ac:dyDescent="0.35">
      <c r="A446" t="s">
        <v>243</v>
      </c>
    </row>
    <row r="447" spans="1:1" x14ac:dyDescent="0.35">
      <c r="A447" t="s">
        <v>244</v>
      </c>
    </row>
    <row r="448" spans="1:1" x14ac:dyDescent="0.35">
      <c r="A448" t="s">
        <v>7</v>
      </c>
    </row>
    <row r="449" spans="1:1" x14ac:dyDescent="0.35">
      <c r="A449" t="s">
        <v>8</v>
      </c>
    </row>
    <row r="450" spans="1:1" x14ac:dyDescent="0.35">
      <c r="A450" t="s">
        <v>8</v>
      </c>
    </row>
    <row r="451" spans="1:1" x14ac:dyDescent="0.35">
      <c r="A451" t="s">
        <v>8</v>
      </c>
    </row>
    <row r="452" spans="1:1" x14ac:dyDescent="0.35">
      <c r="A452" t="s">
        <v>8</v>
      </c>
    </row>
    <row r="453" spans="1:1" x14ac:dyDescent="0.35">
      <c r="A453" t="s">
        <v>8</v>
      </c>
    </row>
    <row r="454" spans="1:1" x14ac:dyDescent="0.35">
      <c r="A454" t="s">
        <v>9</v>
      </c>
    </row>
    <row r="455" spans="1:1" x14ac:dyDescent="0.35">
      <c r="A455" t="s">
        <v>245</v>
      </c>
    </row>
    <row r="457" spans="1:1" x14ac:dyDescent="0.35">
      <c r="A457" t="s">
        <v>246</v>
      </c>
    </row>
    <row r="458" spans="1:1" x14ac:dyDescent="0.35">
      <c r="A458" t="s">
        <v>1</v>
      </c>
    </row>
    <row r="459" spans="1:1" x14ac:dyDescent="0.35">
      <c r="A459" t="s">
        <v>247</v>
      </c>
    </row>
    <row r="460" spans="1:1" x14ac:dyDescent="0.35">
      <c r="A460" t="s">
        <v>248</v>
      </c>
    </row>
    <row r="461" spans="1:1" x14ac:dyDescent="0.35">
      <c r="A461" t="s">
        <v>249</v>
      </c>
    </row>
    <row r="462" spans="1:1" x14ac:dyDescent="0.35">
      <c r="A462" t="s">
        <v>250</v>
      </c>
    </row>
    <row r="463" spans="1:1" x14ac:dyDescent="0.35">
      <c r="A463" t="s">
        <v>251</v>
      </c>
    </row>
    <row r="464" spans="1:1" x14ac:dyDescent="0.35">
      <c r="A464" t="s">
        <v>7</v>
      </c>
    </row>
    <row r="465" spans="1:1" x14ac:dyDescent="0.35">
      <c r="A465" t="s">
        <v>8</v>
      </c>
    </row>
    <row r="466" spans="1:1" x14ac:dyDescent="0.35">
      <c r="A466" t="s">
        <v>8</v>
      </c>
    </row>
    <row r="467" spans="1:1" x14ac:dyDescent="0.35">
      <c r="A467" t="s">
        <v>8</v>
      </c>
    </row>
    <row r="468" spans="1:1" x14ac:dyDescent="0.35">
      <c r="A468" t="s">
        <v>8</v>
      </c>
    </row>
    <row r="469" spans="1:1" x14ac:dyDescent="0.35">
      <c r="A469" t="s">
        <v>8</v>
      </c>
    </row>
    <row r="470" spans="1:1" x14ac:dyDescent="0.35">
      <c r="A470" t="s">
        <v>9</v>
      </c>
    </row>
    <row r="471" spans="1:1" x14ac:dyDescent="0.35">
      <c r="A471" t="s">
        <v>252</v>
      </c>
    </row>
    <row r="473" spans="1:1" x14ac:dyDescent="0.35">
      <c r="A473" t="s">
        <v>253</v>
      </c>
    </row>
    <row r="474" spans="1:1" x14ac:dyDescent="0.35">
      <c r="A474" t="s">
        <v>1</v>
      </c>
    </row>
    <row r="475" spans="1:1" x14ac:dyDescent="0.35">
      <c r="A475" t="s">
        <v>254</v>
      </c>
    </row>
    <row r="476" spans="1:1" x14ac:dyDescent="0.35">
      <c r="A476" t="s">
        <v>255</v>
      </c>
    </row>
    <row r="477" spans="1:1" x14ac:dyDescent="0.35">
      <c r="A477" t="s">
        <v>256</v>
      </c>
    </row>
    <row r="478" spans="1:1" x14ac:dyDescent="0.35">
      <c r="A478" t="s">
        <v>257</v>
      </c>
    </row>
    <row r="479" spans="1:1" x14ac:dyDescent="0.35">
      <c r="A479" t="s">
        <v>241</v>
      </c>
    </row>
    <row r="480" spans="1:1" x14ac:dyDescent="0.35">
      <c r="A480" t="s">
        <v>7</v>
      </c>
    </row>
    <row r="481" spans="1:1" x14ac:dyDescent="0.35">
      <c r="A481" t="s">
        <v>8</v>
      </c>
    </row>
    <row r="482" spans="1:1" x14ac:dyDescent="0.35">
      <c r="A482" t="s">
        <v>8</v>
      </c>
    </row>
    <row r="483" spans="1:1" x14ac:dyDescent="0.35">
      <c r="A483" t="s">
        <v>8</v>
      </c>
    </row>
    <row r="484" spans="1:1" x14ac:dyDescent="0.35">
      <c r="A484" t="s">
        <v>8</v>
      </c>
    </row>
    <row r="485" spans="1:1" x14ac:dyDescent="0.35">
      <c r="A485" t="s">
        <v>8</v>
      </c>
    </row>
    <row r="486" spans="1:1" x14ac:dyDescent="0.35">
      <c r="A486" t="s">
        <v>9</v>
      </c>
    </row>
    <row r="487" spans="1:1" x14ac:dyDescent="0.35">
      <c r="A487" t="s">
        <v>258</v>
      </c>
    </row>
    <row r="489" spans="1:1" x14ac:dyDescent="0.35">
      <c r="A489" t="s">
        <v>259</v>
      </c>
    </row>
    <row r="490" spans="1:1" x14ac:dyDescent="0.35">
      <c r="A490" t="s">
        <v>1</v>
      </c>
    </row>
    <row r="491" spans="1:1" x14ac:dyDescent="0.35">
      <c r="A491" t="s">
        <v>256</v>
      </c>
    </row>
    <row r="492" spans="1:1" x14ac:dyDescent="0.35">
      <c r="A492" t="s">
        <v>249</v>
      </c>
    </row>
    <row r="493" spans="1:1" x14ac:dyDescent="0.35">
      <c r="A493" t="s">
        <v>260</v>
      </c>
    </row>
    <row r="494" spans="1:1" x14ac:dyDescent="0.35">
      <c r="A494" t="s">
        <v>261</v>
      </c>
    </row>
    <row r="495" spans="1:1" x14ac:dyDescent="0.35">
      <c r="A495" t="s">
        <v>262</v>
      </c>
    </row>
    <row r="496" spans="1:1" x14ac:dyDescent="0.35">
      <c r="A496" t="s">
        <v>7</v>
      </c>
    </row>
    <row r="497" spans="1:1" x14ac:dyDescent="0.35">
      <c r="A497" t="s">
        <v>8</v>
      </c>
    </row>
    <row r="498" spans="1:1" x14ac:dyDescent="0.35">
      <c r="A498" t="s">
        <v>8</v>
      </c>
    </row>
    <row r="499" spans="1:1" x14ac:dyDescent="0.35">
      <c r="A499" t="s">
        <v>8</v>
      </c>
    </row>
    <row r="500" spans="1:1" x14ac:dyDescent="0.35">
      <c r="A500" t="s">
        <v>8</v>
      </c>
    </row>
    <row r="501" spans="1:1" x14ac:dyDescent="0.35">
      <c r="A501" t="s">
        <v>8</v>
      </c>
    </row>
    <row r="502" spans="1:1" x14ac:dyDescent="0.35">
      <c r="A502" t="s">
        <v>9</v>
      </c>
    </row>
    <row r="503" spans="1:1" x14ac:dyDescent="0.35">
      <c r="A503" t="s">
        <v>263</v>
      </c>
    </row>
    <row r="504" spans="1:1" x14ac:dyDescent="0.35">
      <c r="A504" t="s">
        <v>155</v>
      </c>
    </row>
    <row r="505" spans="1:1" x14ac:dyDescent="0.35">
      <c r="A505" t="s">
        <v>160</v>
      </c>
    </row>
    <row r="506" spans="1:1" x14ac:dyDescent="0.35">
      <c r="A506" t="s">
        <v>7</v>
      </c>
    </row>
    <row r="507" spans="1:1" x14ac:dyDescent="0.35">
      <c r="A507" t="s">
        <v>138</v>
      </c>
    </row>
    <row r="508" spans="1:1" x14ac:dyDescent="0.35">
      <c r="A508" t="s">
        <v>139</v>
      </c>
    </row>
    <row r="509" spans="1:1" x14ac:dyDescent="0.35">
      <c r="A509" t="s">
        <v>147</v>
      </c>
    </row>
    <row r="510" spans="1:1" x14ac:dyDescent="0.35">
      <c r="A510" t="s">
        <v>148</v>
      </c>
    </row>
    <row r="511" spans="1:1" x14ac:dyDescent="0.35">
      <c r="A511" t="s">
        <v>149</v>
      </c>
    </row>
    <row r="512" spans="1:1" x14ac:dyDescent="0.35">
      <c r="A512" t="s">
        <v>157</v>
      </c>
    </row>
    <row r="513" spans="1:1" x14ac:dyDescent="0.35">
      <c r="A513" t="s">
        <v>161</v>
      </c>
    </row>
    <row r="515" spans="1:1" x14ac:dyDescent="0.35">
      <c r="A515" t="s">
        <v>0</v>
      </c>
    </row>
    <row r="516" spans="1:1" x14ac:dyDescent="0.35">
      <c r="A516" t="s">
        <v>1</v>
      </c>
    </row>
    <row r="517" spans="1:1" x14ac:dyDescent="0.35">
      <c r="A517" t="s">
        <v>153</v>
      </c>
    </row>
    <row r="518" spans="1:1" x14ac:dyDescent="0.35">
      <c r="A518" t="s">
        <v>36</v>
      </c>
    </row>
    <row r="519" spans="1:1" x14ac:dyDescent="0.35">
      <c r="A519" t="s">
        <v>154</v>
      </c>
    </row>
    <row r="520" spans="1:1" x14ac:dyDescent="0.35">
      <c r="A520" t="s">
        <v>155</v>
      </c>
    </row>
    <row r="521" spans="1:1" x14ac:dyDescent="0.35">
      <c r="A521" t="s">
        <v>162</v>
      </c>
    </row>
    <row r="522" spans="1:1" x14ac:dyDescent="0.35">
      <c r="A522" t="s">
        <v>7</v>
      </c>
    </row>
    <row r="523" spans="1:1" x14ac:dyDescent="0.35">
      <c r="A523" t="s">
        <v>163</v>
      </c>
    </row>
    <row r="524" spans="1:1" x14ac:dyDescent="0.35">
      <c r="A524" t="s">
        <v>164</v>
      </c>
    </row>
    <row r="525" spans="1:1" x14ac:dyDescent="0.35">
      <c r="A525" t="s">
        <v>165</v>
      </c>
    </row>
    <row r="526" spans="1:1" x14ac:dyDescent="0.35">
      <c r="A526" t="s">
        <v>166</v>
      </c>
    </row>
    <row r="527" spans="1:1" x14ac:dyDescent="0.35">
      <c r="A527" t="s">
        <v>167</v>
      </c>
    </row>
    <row r="528" spans="1:1" x14ac:dyDescent="0.35">
      <c r="A528" t="s">
        <v>9</v>
      </c>
    </row>
    <row r="529" spans="1:1" x14ac:dyDescent="0.35">
      <c r="A529" t="s">
        <v>10</v>
      </c>
    </row>
  </sheetData>
  <autoFilter ref="A1:A529" xr:uid="{7C3419BC-D2E6-40D8-9EAF-9A1B1FA103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AA48-AB7A-4338-85EA-8B0239752FFA}">
  <sheetPr>
    <tabColor theme="9" tint="0.79998168889431442"/>
  </sheetPr>
  <dimension ref="A1:A113"/>
  <sheetViews>
    <sheetView workbookViewId="0">
      <selection activeCell="C21" sqref="C2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8</v>
      </c>
    </row>
    <row r="11" spans="1:1" x14ac:dyDescent="0.35">
      <c r="A11" t="s">
        <v>8</v>
      </c>
    </row>
    <row r="12" spans="1:1" x14ac:dyDescent="0.35">
      <c r="A12" t="s">
        <v>8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7" spans="1:1" x14ac:dyDescent="0.35">
      <c r="A17" t="s">
        <v>11</v>
      </c>
    </row>
    <row r="18" spans="1:1" x14ac:dyDescent="0.35">
      <c r="A18" t="s">
        <v>1</v>
      </c>
    </row>
    <row r="19" spans="1:1" x14ac:dyDescent="0.35">
      <c r="A19" t="s">
        <v>2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7</v>
      </c>
    </row>
    <row r="25" spans="1:1" x14ac:dyDescent="0.35">
      <c r="A25" t="s">
        <v>16</v>
      </c>
    </row>
    <row r="26" spans="1:1" x14ac:dyDescent="0.35">
      <c r="A26" t="s">
        <v>17</v>
      </c>
    </row>
    <row r="27" spans="1:1" x14ac:dyDescent="0.35">
      <c r="A27" t="s">
        <v>18</v>
      </c>
    </row>
    <row r="28" spans="1:1" x14ac:dyDescent="0.35">
      <c r="A28" t="s">
        <v>19</v>
      </c>
    </row>
    <row r="29" spans="1:1" x14ac:dyDescent="0.35">
      <c r="A29" t="s">
        <v>20</v>
      </c>
    </row>
    <row r="30" spans="1:1" x14ac:dyDescent="0.35">
      <c r="A30" t="s">
        <v>21</v>
      </c>
    </row>
    <row r="31" spans="1:1" x14ac:dyDescent="0.35">
      <c r="A31" t="s">
        <v>22</v>
      </c>
    </row>
    <row r="33" spans="1:1" x14ac:dyDescent="0.35">
      <c r="A33" t="s">
        <v>23</v>
      </c>
    </row>
    <row r="34" spans="1:1" x14ac:dyDescent="0.35">
      <c r="A34" t="s">
        <v>1</v>
      </c>
    </row>
    <row r="35" spans="1:1" x14ac:dyDescent="0.35">
      <c r="A35" t="s">
        <v>24</v>
      </c>
    </row>
    <row r="36" spans="1:1" x14ac:dyDescent="0.35">
      <c r="A36" t="s">
        <v>25</v>
      </c>
    </row>
    <row r="37" spans="1:1" x14ac:dyDescent="0.35">
      <c r="A37" t="s">
        <v>13</v>
      </c>
    </row>
    <row r="38" spans="1:1" x14ac:dyDescent="0.35">
      <c r="A38" t="s">
        <v>26</v>
      </c>
    </row>
    <row r="39" spans="1:1" x14ac:dyDescent="0.35">
      <c r="A39" t="s">
        <v>27</v>
      </c>
    </row>
    <row r="40" spans="1:1" x14ac:dyDescent="0.35">
      <c r="A40" t="s">
        <v>7</v>
      </c>
    </row>
    <row r="41" spans="1:1" x14ac:dyDescent="0.35">
      <c r="A41" t="s">
        <v>28</v>
      </c>
    </row>
    <row r="42" spans="1:1" x14ac:dyDescent="0.35">
      <c r="A42" t="s">
        <v>29</v>
      </c>
    </row>
    <row r="43" spans="1:1" x14ac:dyDescent="0.35">
      <c r="A43" t="s">
        <v>30</v>
      </c>
    </row>
    <row r="44" spans="1:1" x14ac:dyDescent="0.35">
      <c r="A44" t="s">
        <v>31</v>
      </c>
    </row>
    <row r="45" spans="1:1" x14ac:dyDescent="0.35">
      <c r="A45" t="s">
        <v>32</v>
      </c>
    </row>
    <row r="46" spans="1:1" x14ac:dyDescent="0.35">
      <c r="A46" t="s">
        <v>33</v>
      </c>
    </row>
    <row r="47" spans="1:1" x14ac:dyDescent="0.35">
      <c r="A47" t="s">
        <v>34</v>
      </c>
    </row>
    <row r="49" spans="1:1" x14ac:dyDescent="0.35">
      <c r="A49" t="s">
        <v>35</v>
      </c>
    </row>
    <row r="50" spans="1:1" x14ac:dyDescent="0.35">
      <c r="A50" t="s">
        <v>1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7</v>
      </c>
    </row>
    <row r="57" spans="1:1" x14ac:dyDescent="0.35">
      <c r="A57" t="s">
        <v>41</v>
      </c>
    </row>
    <row r="58" spans="1:1" x14ac:dyDescent="0.35">
      <c r="A58" t="s">
        <v>42</v>
      </c>
    </row>
    <row r="59" spans="1:1" x14ac:dyDescent="0.35">
      <c r="A59" t="s">
        <v>43</v>
      </c>
    </row>
    <row r="60" spans="1:1" x14ac:dyDescent="0.35">
      <c r="A60" t="s">
        <v>44</v>
      </c>
    </row>
    <row r="61" spans="1:1" x14ac:dyDescent="0.35">
      <c r="A61" t="s">
        <v>45</v>
      </c>
    </row>
    <row r="62" spans="1:1" x14ac:dyDescent="0.35">
      <c r="A62" t="s">
        <v>46</v>
      </c>
    </row>
    <row r="63" spans="1:1" x14ac:dyDescent="0.35">
      <c r="A63" t="s">
        <v>47</v>
      </c>
    </row>
    <row r="65" spans="1:1" x14ac:dyDescent="0.35">
      <c r="A65" t="s">
        <v>48</v>
      </c>
    </row>
    <row r="66" spans="1:1" x14ac:dyDescent="0.35">
      <c r="A66" t="s">
        <v>1</v>
      </c>
    </row>
    <row r="67" spans="1:1" x14ac:dyDescent="0.35">
      <c r="A67" t="s">
        <v>49</v>
      </c>
    </row>
    <row r="68" spans="1:1" x14ac:dyDescent="0.35">
      <c r="A68" t="s">
        <v>50</v>
      </c>
    </row>
    <row r="69" spans="1:1" x14ac:dyDescent="0.35">
      <c r="A69" t="s">
        <v>51</v>
      </c>
    </row>
    <row r="70" spans="1:1" x14ac:dyDescent="0.35">
      <c r="A70" t="s">
        <v>52</v>
      </c>
    </row>
    <row r="71" spans="1:1" x14ac:dyDescent="0.35">
      <c r="A71" t="s">
        <v>53</v>
      </c>
    </row>
    <row r="72" spans="1:1" x14ac:dyDescent="0.35">
      <c r="A72" t="s">
        <v>7</v>
      </c>
    </row>
    <row r="73" spans="1:1" x14ac:dyDescent="0.35">
      <c r="A73" t="s">
        <v>54</v>
      </c>
    </row>
    <row r="74" spans="1:1" x14ac:dyDescent="0.35">
      <c r="A74" t="s">
        <v>55</v>
      </c>
    </row>
    <row r="75" spans="1:1" x14ac:dyDescent="0.35">
      <c r="A75" t="s">
        <v>56</v>
      </c>
    </row>
    <row r="76" spans="1:1" x14ac:dyDescent="0.35">
      <c r="A76" t="s">
        <v>57</v>
      </c>
    </row>
    <row r="77" spans="1:1" x14ac:dyDescent="0.35">
      <c r="A77" t="s">
        <v>58</v>
      </c>
    </row>
    <row r="78" spans="1:1" x14ac:dyDescent="0.35">
      <c r="A78" t="s">
        <v>59</v>
      </c>
    </row>
    <row r="79" spans="1:1" x14ac:dyDescent="0.35">
      <c r="A79" t="s">
        <v>60</v>
      </c>
    </row>
    <row r="81" spans="1:1" x14ac:dyDescent="0.35">
      <c r="A81" t="s">
        <v>61</v>
      </c>
    </row>
    <row r="82" spans="1:1" x14ac:dyDescent="0.35">
      <c r="A82" t="s">
        <v>1</v>
      </c>
    </row>
    <row r="83" spans="1:1" x14ac:dyDescent="0.35">
      <c r="A83" t="s">
        <v>62</v>
      </c>
    </row>
    <row r="84" spans="1:1" x14ac:dyDescent="0.35">
      <c r="A84" t="s">
        <v>63</v>
      </c>
    </row>
    <row r="85" spans="1:1" x14ac:dyDescent="0.35">
      <c r="A85" t="s">
        <v>64</v>
      </c>
    </row>
    <row r="86" spans="1:1" x14ac:dyDescent="0.35">
      <c r="A86" t="s">
        <v>65</v>
      </c>
    </row>
    <row r="87" spans="1:1" x14ac:dyDescent="0.35">
      <c r="A87" t="s">
        <v>66</v>
      </c>
    </row>
    <row r="88" spans="1:1" x14ac:dyDescent="0.35">
      <c r="A88" t="s">
        <v>7</v>
      </c>
    </row>
    <row r="89" spans="1:1" x14ac:dyDescent="0.35">
      <c r="A89" t="s">
        <v>54</v>
      </c>
    </row>
    <row r="90" spans="1:1" x14ac:dyDescent="0.35">
      <c r="A90" t="s">
        <v>55</v>
      </c>
    </row>
    <row r="91" spans="1:1" x14ac:dyDescent="0.35">
      <c r="A91" t="s">
        <v>56</v>
      </c>
    </row>
    <row r="92" spans="1:1" x14ac:dyDescent="0.35">
      <c r="A92" t="s">
        <v>57</v>
      </c>
    </row>
    <row r="93" spans="1:1" x14ac:dyDescent="0.35">
      <c r="A93" t="s">
        <v>58</v>
      </c>
    </row>
    <row r="94" spans="1:1" x14ac:dyDescent="0.35">
      <c r="A94" t="s">
        <v>59</v>
      </c>
    </row>
    <row r="95" spans="1:1" x14ac:dyDescent="0.35">
      <c r="A95" t="s">
        <v>60</v>
      </c>
    </row>
    <row r="97" spans="1:1" x14ac:dyDescent="0.35">
      <c r="A97" t="s">
        <v>67</v>
      </c>
    </row>
    <row r="98" spans="1:1" x14ac:dyDescent="0.35">
      <c r="A98" t="s">
        <v>1</v>
      </c>
    </row>
    <row r="99" spans="1:1" x14ac:dyDescent="0.35">
      <c r="A99" t="s">
        <v>68</v>
      </c>
    </row>
    <row r="100" spans="1:1" x14ac:dyDescent="0.35">
      <c r="A100" t="s">
        <v>69</v>
      </c>
    </row>
    <row r="101" spans="1:1" x14ac:dyDescent="0.35">
      <c r="A101" t="s">
        <v>63</v>
      </c>
    </row>
    <row r="102" spans="1:1" x14ac:dyDescent="0.35">
      <c r="A102" t="s">
        <v>70</v>
      </c>
    </row>
    <row r="103" spans="1:1" x14ac:dyDescent="0.35">
      <c r="A103" t="s">
        <v>71</v>
      </c>
    </row>
    <row r="104" spans="1:1" x14ac:dyDescent="0.35">
      <c r="A104" t="s">
        <v>7</v>
      </c>
    </row>
    <row r="105" spans="1:1" x14ac:dyDescent="0.35">
      <c r="A105" t="s">
        <v>72</v>
      </c>
    </row>
    <row r="106" spans="1:1" x14ac:dyDescent="0.35">
      <c r="A106" t="s">
        <v>73</v>
      </c>
    </row>
    <row r="107" spans="1:1" x14ac:dyDescent="0.35">
      <c r="A107" t="s">
        <v>74</v>
      </c>
    </row>
    <row r="108" spans="1:1" x14ac:dyDescent="0.35">
      <c r="A108" t="s">
        <v>75</v>
      </c>
    </row>
    <row r="109" spans="1:1" x14ac:dyDescent="0.35">
      <c r="A109" t="s">
        <v>76</v>
      </c>
    </row>
    <row r="110" spans="1:1" x14ac:dyDescent="0.35">
      <c r="A110" t="s">
        <v>59</v>
      </c>
    </row>
    <row r="111" spans="1:1" x14ac:dyDescent="0.35">
      <c r="A111" t="s">
        <v>60</v>
      </c>
    </row>
    <row r="113" spans="1:1" x14ac:dyDescent="0.35">
      <c r="A113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9992-97DA-4739-BA53-DD327DE201BC}">
  <sheetPr>
    <tabColor theme="9" tint="0.79998168889431442"/>
  </sheetPr>
  <dimension ref="A1:A52"/>
  <sheetViews>
    <sheetView workbookViewId="0">
      <selection activeCell="D20" sqref="D20"/>
    </sheetView>
  </sheetViews>
  <sheetFormatPr defaultRowHeight="14.5" x14ac:dyDescent="0.35"/>
  <sheetData>
    <row r="1" spans="1:1" x14ac:dyDescent="0.35">
      <c r="A1" t="s">
        <v>1</v>
      </c>
    </row>
    <row r="2" spans="1:1" x14ac:dyDescent="0.35">
      <c r="A2" t="s">
        <v>321</v>
      </c>
    </row>
    <row r="3" spans="1:1" x14ac:dyDescent="0.35">
      <c r="A3" t="s">
        <v>322</v>
      </c>
    </row>
    <row r="4" spans="1:1" x14ac:dyDescent="0.35">
      <c r="A4" t="s">
        <v>323</v>
      </c>
    </row>
    <row r="5" spans="1:1" x14ac:dyDescent="0.35">
      <c r="A5" t="s">
        <v>324</v>
      </c>
    </row>
    <row r="6" spans="1:1" x14ac:dyDescent="0.35">
      <c r="A6" t="s">
        <v>325</v>
      </c>
    </row>
    <row r="8" spans="1:1" x14ac:dyDescent="0.35">
      <c r="A8" t="s">
        <v>326</v>
      </c>
    </row>
    <row r="10" spans="1:1" x14ac:dyDescent="0.35">
      <c r="A10" t="s">
        <v>327</v>
      </c>
    </row>
    <row r="12" spans="1:1" x14ac:dyDescent="0.35">
      <c r="A12" t="s">
        <v>1</v>
      </c>
    </row>
    <row r="13" spans="1:1" x14ac:dyDescent="0.35">
      <c r="A13" t="s">
        <v>328</v>
      </c>
    </row>
    <row r="14" spans="1:1" x14ac:dyDescent="0.35">
      <c r="A14" t="s">
        <v>329</v>
      </c>
    </row>
    <row r="15" spans="1:1" x14ac:dyDescent="0.35">
      <c r="A15" t="s">
        <v>330</v>
      </c>
    </row>
    <row r="16" spans="1:1" x14ac:dyDescent="0.35">
      <c r="A16" t="s">
        <v>331</v>
      </c>
    </row>
    <row r="17" spans="1:1" x14ac:dyDescent="0.35">
      <c r="A17" t="s">
        <v>332</v>
      </c>
    </row>
    <row r="19" spans="1:1" x14ac:dyDescent="0.35">
      <c r="A19" t="s">
        <v>333</v>
      </c>
    </row>
    <row r="21" spans="1:1" x14ac:dyDescent="0.35">
      <c r="A21" t="s">
        <v>334</v>
      </c>
    </row>
    <row r="23" spans="1:1" x14ac:dyDescent="0.35">
      <c r="A23" t="s">
        <v>1</v>
      </c>
    </row>
    <row r="24" spans="1:1" x14ac:dyDescent="0.35">
      <c r="A24" t="s">
        <v>335</v>
      </c>
    </row>
    <row r="25" spans="1:1" x14ac:dyDescent="0.35">
      <c r="A25" t="s">
        <v>336</v>
      </c>
    </row>
    <row r="26" spans="1:1" x14ac:dyDescent="0.35">
      <c r="A26" t="s">
        <v>337</v>
      </c>
    </row>
    <row r="27" spans="1:1" x14ac:dyDescent="0.35">
      <c r="A27" t="s">
        <v>338</v>
      </c>
    </row>
    <row r="28" spans="1:1" x14ac:dyDescent="0.35">
      <c r="A28" t="s">
        <v>339</v>
      </c>
    </row>
    <row r="30" spans="1:1" x14ac:dyDescent="0.35">
      <c r="A30" t="s">
        <v>340</v>
      </c>
    </row>
    <row r="32" spans="1:1" x14ac:dyDescent="0.35">
      <c r="A32" t="s">
        <v>341</v>
      </c>
    </row>
    <row r="34" spans="1:1" x14ac:dyDescent="0.35">
      <c r="A34" t="s">
        <v>1</v>
      </c>
    </row>
    <row r="35" spans="1:1" x14ac:dyDescent="0.35">
      <c r="A35" t="s">
        <v>342</v>
      </c>
    </row>
    <row r="36" spans="1:1" x14ac:dyDescent="0.35">
      <c r="A36" t="s">
        <v>343</v>
      </c>
    </row>
    <row r="37" spans="1:1" x14ac:dyDescent="0.35">
      <c r="A37" t="s">
        <v>344</v>
      </c>
    </row>
    <row r="38" spans="1:1" x14ac:dyDescent="0.35">
      <c r="A38" t="s">
        <v>345</v>
      </c>
    </row>
    <row r="39" spans="1:1" x14ac:dyDescent="0.35">
      <c r="A39" t="s">
        <v>346</v>
      </c>
    </row>
    <row r="41" spans="1:1" x14ac:dyDescent="0.35">
      <c r="A41" t="s">
        <v>347</v>
      </c>
    </row>
    <row r="43" spans="1:1" x14ac:dyDescent="0.35">
      <c r="A43" t="s">
        <v>348</v>
      </c>
    </row>
    <row r="45" spans="1:1" x14ac:dyDescent="0.35">
      <c r="A45" t="s">
        <v>1</v>
      </c>
    </row>
    <row r="46" spans="1:1" x14ac:dyDescent="0.35">
      <c r="A46" t="s">
        <v>349</v>
      </c>
    </row>
    <row r="47" spans="1:1" x14ac:dyDescent="0.35">
      <c r="A47" t="s">
        <v>350</v>
      </c>
    </row>
    <row r="48" spans="1:1" x14ac:dyDescent="0.35">
      <c r="A48" t="s">
        <v>351</v>
      </c>
    </row>
    <row r="49" spans="1:1" x14ac:dyDescent="0.35">
      <c r="A49" t="s">
        <v>352</v>
      </c>
    </row>
    <row r="50" spans="1:1" x14ac:dyDescent="0.35">
      <c r="A50" t="s">
        <v>353</v>
      </c>
    </row>
    <row r="52" spans="1:1" x14ac:dyDescent="0.35">
      <c r="A52" t="s">
        <v>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47FB-2293-459C-8305-EB832FAD2D73}">
  <sheetPr>
    <tabColor theme="9" tint="0.59999389629810485"/>
  </sheetPr>
  <dimension ref="A1:H695"/>
  <sheetViews>
    <sheetView zoomScale="70" zoomScaleNormal="70" workbookViewId="0">
      <pane ySplit="1" topLeftCell="A264" activePane="bottomLeft" state="frozen"/>
      <selection activeCell="C21" sqref="C21"/>
      <selection pane="bottomLeft" activeCell="F293" sqref="F293"/>
    </sheetView>
  </sheetViews>
  <sheetFormatPr defaultRowHeight="14.5" x14ac:dyDescent="0.35"/>
  <cols>
    <col min="1" max="1" width="23.81640625" customWidth="1"/>
    <col min="2" max="2" width="9.36328125" style="1" bestFit="1" customWidth="1"/>
    <col min="3" max="3" width="10.08984375" style="1" bestFit="1" customWidth="1"/>
    <col min="4" max="8" width="40" bestFit="1" customWidth="1"/>
  </cols>
  <sheetData>
    <row r="1" spans="1:8" x14ac:dyDescent="0.35">
      <c r="A1" t="s">
        <v>356</v>
      </c>
      <c r="B1" s="1" t="s">
        <v>357</v>
      </c>
      <c r="C1" s="1" t="s">
        <v>355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</row>
    <row r="2" spans="1:8" x14ac:dyDescent="0.35">
      <c r="A2" s="2" t="s">
        <v>168</v>
      </c>
      <c r="B2" s="1" t="b">
        <f>ISNUMBER(LEFT(A2,4)+1-1)</f>
        <v>1</v>
      </c>
      <c r="C2" s="1" t="str">
        <f t="shared" ref="C2" si="0">IF(B2,LEFT(A2,10),C1)</f>
        <v>2025-11-05</v>
      </c>
      <c r="D2" t="str">
        <f>A4</f>
        <v>NVDA – NVIDIA Corporation</v>
      </c>
      <c r="E2" t="str">
        <f>A5</f>
        <v>AAPL – Apple Inc.</v>
      </c>
      <c r="F2" t="str">
        <f>A6</f>
        <v>MSFT – Microsoft Corporation</v>
      </c>
      <c r="G2" t="str">
        <f>A7</f>
        <v>ERICb.ST – Telefonaktiebolaget LM Ericsson B</v>
      </c>
      <c r="H2" t="str">
        <f>A8</f>
        <v>BOL – The Boliden Company</v>
      </c>
    </row>
    <row r="3" spans="1:8" x14ac:dyDescent="0.35">
      <c r="A3" t="s">
        <v>1</v>
      </c>
      <c r="B3" s="1" t="b">
        <f>ISNUMBER(LEFT(A3,4)+1-1)</f>
        <v>0</v>
      </c>
      <c r="C3" s="1" t="str">
        <f>IF(B3,LEFT(A3,10),C2)</f>
        <v>2025-11-05</v>
      </c>
      <c r="D3" t="str">
        <f t="shared" ref="D3:D66" si="1">A5</f>
        <v>AAPL – Apple Inc.</v>
      </c>
      <c r="E3" t="str">
        <f t="shared" ref="E3:E66" si="2">A6</f>
        <v>MSFT – Microsoft Corporation</v>
      </c>
      <c r="F3" t="str">
        <f t="shared" ref="F3:F66" si="3">A7</f>
        <v>ERICb.ST – Telefonaktiebolaget LM Ericsson B</v>
      </c>
      <c r="G3" t="str">
        <f t="shared" ref="G3:G66" si="4">A8</f>
        <v>BOL – The Boliden Company</v>
      </c>
      <c r="H3" t="str">
        <f t="shared" ref="H3:H66" si="5">A9</f>
        <v>Perf (prev recs):</v>
      </c>
    </row>
    <row r="4" spans="1:8" x14ac:dyDescent="0.35">
      <c r="A4" t="s">
        <v>24</v>
      </c>
      <c r="B4" s="1" t="b">
        <f>ISNUMBER(LEFT(A4,4)+1-1)</f>
        <v>0</v>
      </c>
      <c r="C4" s="1" t="str">
        <f t="shared" ref="C4:C67" si="6">IF(B4,LEFT(A4,10),C3)</f>
        <v>2025-11-05</v>
      </c>
      <c r="D4" t="str">
        <f t="shared" si="1"/>
        <v>MSFT – Microsoft Corporation</v>
      </c>
      <c r="E4" t="str">
        <f t="shared" si="2"/>
        <v>ERICb.ST – Telefonaktiebolaget LM Ericsson B</v>
      </c>
      <c r="F4" t="str">
        <f t="shared" si="3"/>
        <v>BOL – The Boliden Company</v>
      </c>
      <c r="G4" t="str">
        <f t="shared" si="4"/>
        <v>Perf (prev recs):</v>
      </c>
      <c r="H4" t="str">
        <f t="shared" si="5"/>
        <v>N/A</v>
      </c>
    </row>
    <row r="5" spans="1:8" x14ac:dyDescent="0.35">
      <c r="A5" t="s">
        <v>36</v>
      </c>
      <c r="B5" s="1" t="b">
        <f>ISNUMBER(LEFT(A5,4)+1-1)</f>
        <v>0</v>
      </c>
      <c r="C5" s="1" t="str">
        <f t="shared" si="6"/>
        <v>2025-11-05</v>
      </c>
      <c r="D5" t="str">
        <f t="shared" si="1"/>
        <v>ERICb.ST – Telefonaktiebolaget LM Ericsson B</v>
      </c>
      <c r="E5" t="str">
        <f t="shared" si="2"/>
        <v>BOL – The Boliden Company</v>
      </c>
      <c r="F5" t="str">
        <f t="shared" si="3"/>
        <v>Perf (prev recs):</v>
      </c>
      <c r="G5" t="str">
        <f t="shared" si="4"/>
        <v>N/A</v>
      </c>
      <c r="H5" t="str">
        <f t="shared" si="5"/>
        <v>N/A</v>
      </c>
    </row>
    <row r="6" spans="1:8" x14ac:dyDescent="0.35">
      <c r="A6" t="s">
        <v>126</v>
      </c>
      <c r="B6" s="1" t="b">
        <f>ISNUMBER(LEFT(A6,4)+1-1)</f>
        <v>0</v>
      </c>
      <c r="C6" s="1" t="str">
        <f t="shared" si="6"/>
        <v>2025-11-05</v>
      </c>
      <c r="D6" t="str">
        <f t="shared" si="1"/>
        <v>BOL – The Boliden Company</v>
      </c>
      <c r="E6" t="str">
        <f t="shared" si="2"/>
        <v>Perf (prev recs):</v>
      </c>
      <c r="F6" t="str">
        <f t="shared" si="3"/>
        <v>N/A</v>
      </c>
      <c r="G6" t="str">
        <f t="shared" si="4"/>
        <v>N/A</v>
      </c>
      <c r="H6" t="str">
        <f t="shared" si="5"/>
        <v>N/A</v>
      </c>
    </row>
    <row r="7" spans="1:8" x14ac:dyDescent="0.35">
      <c r="A7" t="s">
        <v>169</v>
      </c>
      <c r="B7" s="1" t="b">
        <f>ISNUMBER(LEFT(A7,4)+1-1)</f>
        <v>0</v>
      </c>
      <c r="C7" s="1" t="str">
        <f t="shared" si="6"/>
        <v>2025-11-05</v>
      </c>
      <c r="D7" t="str">
        <f t="shared" si="1"/>
        <v>Perf (prev recs):</v>
      </c>
      <c r="E7" t="str">
        <f t="shared" si="2"/>
        <v>N/A</v>
      </c>
      <c r="F7" t="str">
        <f t="shared" si="3"/>
        <v>N/A</v>
      </c>
      <c r="G7" t="str">
        <f t="shared" si="4"/>
        <v>N/A</v>
      </c>
      <c r="H7" t="str">
        <f t="shared" si="5"/>
        <v>N/A</v>
      </c>
    </row>
    <row r="8" spans="1:8" x14ac:dyDescent="0.35">
      <c r="A8" t="s">
        <v>170</v>
      </c>
      <c r="B8" s="1" t="b">
        <f>ISNUMBER(LEFT(A8,4)+1-1)</f>
        <v>0</v>
      </c>
      <c r="C8" s="1" t="str">
        <f t="shared" si="6"/>
        <v>2025-11-05</v>
      </c>
      <c r="D8" t="str">
        <f t="shared" si="1"/>
        <v>N/A</v>
      </c>
      <c r="E8" t="str">
        <f t="shared" si="2"/>
        <v>N/A</v>
      </c>
      <c r="F8" t="str">
        <f t="shared" si="3"/>
        <v>N/A</v>
      </c>
      <c r="G8" t="str">
        <f t="shared" si="4"/>
        <v>N/A</v>
      </c>
      <c r="H8" t="str">
        <f t="shared" si="5"/>
        <v>N/A</v>
      </c>
    </row>
    <row r="9" spans="1:8" x14ac:dyDescent="0.35">
      <c r="A9" t="s">
        <v>7</v>
      </c>
      <c r="B9" s="1" t="b">
        <f>ISNUMBER(LEFT(A9,4)+1-1)</f>
        <v>0</v>
      </c>
      <c r="C9" s="1" t="str">
        <f t="shared" si="6"/>
        <v>2025-11-05</v>
      </c>
      <c r="D9" t="str">
        <f t="shared" si="1"/>
        <v>N/A</v>
      </c>
      <c r="E9" t="str">
        <f t="shared" si="2"/>
        <v>N/A</v>
      </c>
      <c r="F9" t="str">
        <f t="shared" si="3"/>
        <v>N/A</v>
      </c>
      <c r="G9" t="str">
        <f t="shared" si="4"/>
        <v>N/A</v>
      </c>
      <c r="H9" t="str">
        <f t="shared" si="5"/>
        <v>Avg N/A</v>
      </c>
    </row>
    <row r="10" spans="1:8" x14ac:dyDescent="0.35">
      <c r="A10" t="s">
        <v>8</v>
      </c>
      <c r="B10" s="1" t="b">
        <f>ISNUMBER(LEFT(A10,4)+1-1)</f>
        <v>0</v>
      </c>
      <c r="C10" s="1" t="str">
        <f t="shared" si="6"/>
        <v>2025-11-05</v>
      </c>
      <c r="D10" t="str">
        <f t="shared" si="1"/>
        <v>N/A</v>
      </c>
      <c r="E10" t="str">
        <f t="shared" si="2"/>
        <v>N/A</v>
      </c>
      <c r="F10" t="str">
        <f t="shared" si="3"/>
        <v>N/A</v>
      </c>
      <c r="G10" t="str">
        <f t="shared" si="4"/>
        <v>Avg N/A</v>
      </c>
      <c r="H10" t="str">
        <f t="shared" si="5"/>
        <v>S&amp;P500 +X.XX%</v>
      </c>
    </row>
    <row r="11" spans="1:8" x14ac:dyDescent="0.35">
      <c r="A11" t="s">
        <v>8</v>
      </c>
      <c r="B11" s="1" t="b">
        <f>ISNUMBER(LEFT(A11,4)+1-1)</f>
        <v>0</v>
      </c>
      <c r="C11" s="1" t="str">
        <f t="shared" si="6"/>
        <v>2025-11-05</v>
      </c>
      <c r="D11" t="str">
        <f t="shared" si="1"/>
        <v>N/A</v>
      </c>
      <c r="E11" t="str">
        <f t="shared" si="2"/>
        <v>N/A</v>
      </c>
      <c r="F11" t="str">
        <f t="shared" si="3"/>
        <v>Avg N/A</v>
      </c>
      <c r="G11" t="str">
        <f t="shared" si="4"/>
        <v>S&amp;P500 +X.XX%</v>
      </c>
      <c r="H11">
        <f t="shared" si="5"/>
        <v>0</v>
      </c>
    </row>
    <row r="12" spans="1:8" x14ac:dyDescent="0.35">
      <c r="A12" t="s">
        <v>8</v>
      </c>
      <c r="B12" s="1" t="b">
        <f>ISNUMBER(LEFT(A12,4)+1-1)</f>
        <v>0</v>
      </c>
      <c r="C12" s="1" t="str">
        <f t="shared" si="6"/>
        <v>2025-11-05</v>
      </c>
      <c r="D12" t="str">
        <f t="shared" si="1"/>
        <v>N/A</v>
      </c>
      <c r="E12" t="str">
        <f t="shared" si="2"/>
        <v>Avg N/A</v>
      </c>
      <c r="F12" t="str">
        <f t="shared" si="3"/>
        <v>S&amp;P500 +X.XX%</v>
      </c>
      <c r="G12">
        <f t="shared" si="4"/>
        <v>0</v>
      </c>
      <c r="H12" t="str">
        <f t="shared" si="5"/>
        <v>2025-11-06 - Thursday</v>
      </c>
    </row>
    <row r="13" spans="1:8" x14ac:dyDescent="0.35">
      <c r="A13" t="s">
        <v>8</v>
      </c>
      <c r="B13" s="1" t="b">
        <f>ISNUMBER(LEFT(A13,4)+1-1)</f>
        <v>0</v>
      </c>
      <c r="C13" s="1" t="str">
        <f t="shared" si="6"/>
        <v>2025-11-05</v>
      </c>
      <c r="D13" t="str">
        <f t="shared" si="1"/>
        <v>Avg N/A</v>
      </c>
      <c r="E13" t="str">
        <f t="shared" si="2"/>
        <v>S&amp;P500 +X.XX%</v>
      </c>
      <c r="F13">
        <f t="shared" si="3"/>
        <v>0</v>
      </c>
      <c r="G13" t="str">
        <f t="shared" si="4"/>
        <v>2025-11-06 - Thursday</v>
      </c>
      <c r="H13" t="str">
        <f t="shared" si="5"/>
        <v>Recs:</v>
      </c>
    </row>
    <row r="14" spans="1:8" x14ac:dyDescent="0.35">
      <c r="A14" t="s">
        <v>8</v>
      </c>
      <c r="B14" s="1" t="b">
        <f>ISNUMBER(LEFT(A14,4)+1-1)</f>
        <v>0</v>
      </c>
      <c r="C14" s="1" t="str">
        <f t="shared" si="6"/>
        <v>2025-11-05</v>
      </c>
      <c r="D14" t="str">
        <f t="shared" si="1"/>
        <v>S&amp;P500 +X.XX%</v>
      </c>
      <c r="E14">
        <f t="shared" si="2"/>
        <v>0</v>
      </c>
      <c r="F14" t="str">
        <f t="shared" si="3"/>
        <v>2025-11-06 - Thursday</v>
      </c>
      <c r="G14" t="str">
        <f t="shared" si="4"/>
        <v>Recs:</v>
      </c>
      <c r="H14" t="str">
        <f t="shared" si="5"/>
        <v>SECU-B.ST – Securitas AB</v>
      </c>
    </row>
    <row r="15" spans="1:8" x14ac:dyDescent="0.35">
      <c r="A15" t="s">
        <v>9</v>
      </c>
      <c r="B15" s="1" t="b">
        <f>ISNUMBER(LEFT(A15,4)+1-1)</f>
        <v>0</v>
      </c>
      <c r="C15" s="1" t="str">
        <f t="shared" si="6"/>
        <v>2025-11-05</v>
      </c>
      <c r="D15">
        <f t="shared" si="1"/>
        <v>0</v>
      </c>
      <c r="E15" t="str">
        <f t="shared" si="2"/>
        <v>2025-11-06 - Thursday</v>
      </c>
      <c r="F15" t="str">
        <f t="shared" si="3"/>
        <v>Recs:</v>
      </c>
      <c r="G15" t="str">
        <f t="shared" si="4"/>
        <v>SECU-B.ST – Securitas AB</v>
      </c>
      <c r="H15" t="str">
        <f t="shared" si="5"/>
        <v>ERIC-B.ST – Ericsson B</v>
      </c>
    </row>
    <row r="16" spans="1:8" x14ac:dyDescent="0.35">
      <c r="A16" t="s">
        <v>171</v>
      </c>
      <c r="B16" s="1" t="b">
        <f>ISNUMBER(LEFT(A16,4)+1-1)</f>
        <v>0</v>
      </c>
      <c r="C16" s="1" t="str">
        <f t="shared" si="6"/>
        <v>2025-11-05</v>
      </c>
      <c r="D16" t="str">
        <f t="shared" si="1"/>
        <v>2025-11-06 - Thursday</v>
      </c>
      <c r="E16" t="str">
        <f t="shared" si="2"/>
        <v>Recs:</v>
      </c>
      <c r="F16" t="str">
        <f t="shared" si="3"/>
        <v>SECU-B.ST – Securitas AB</v>
      </c>
      <c r="G16" t="str">
        <f t="shared" si="4"/>
        <v>ERIC-B.ST – Ericsson B</v>
      </c>
      <c r="H16" t="str">
        <f t="shared" si="5"/>
        <v>TELIA.ST – Telia Company</v>
      </c>
    </row>
    <row r="17" spans="1:8" x14ac:dyDescent="0.35">
      <c r="B17" s="1" t="b">
        <f>ISNUMBER(LEFT(A17,4)+1-1)</f>
        <v>0</v>
      </c>
      <c r="C17" s="1" t="str">
        <f t="shared" si="6"/>
        <v>2025-11-05</v>
      </c>
      <c r="D17" t="str">
        <f t="shared" si="1"/>
        <v>Recs:</v>
      </c>
      <c r="E17" t="str">
        <f t="shared" si="2"/>
        <v>SECU-B.ST – Securitas AB</v>
      </c>
      <c r="F17" t="str">
        <f t="shared" si="3"/>
        <v>ERIC-B.ST – Ericsson B</v>
      </c>
      <c r="G17" t="str">
        <f t="shared" si="4"/>
        <v>TELIA.ST – Telia Company</v>
      </c>
      <c r="H17" t="str">
        <f t="shared" si="5"/>
        <v>SAAB-B.ST – Saab AB</v>
      </c>
    </row>
    <row r="18" spans="1:8" x14ac:dyDescent="0.35">
      <c r="A18" s="2" t="s">
        <v>77</v>
      </c>
      <c r="B18" s="1" t="b">
        <f>ISNUMBER(LEFT(A18,4)+1-1)</f>
        <v>1</v>
      </c>
      <c r="C18" s="1" t="str">
        <f t="shared" si="6"/>
        <v>2025-11-06</v>
      </c>
      <c r="D18" t="str">
        <f t="shared" si="1"/>
        <v>SECU-B.ST – Securitas AB</v>
      </c>
      <c r="E18" t="str">
        <f t="shared" si="2"/>
        <v>ERIC-B.ST – Ericsson B</v>
      </c>
      <c r="F18" t="str">
        <f t="shared" si="3"/>
        <v>TELIA.ST – Telia Company</v>
      </c>
      <c r="G18" t="str">
        <f t="shared" si="4"/>
        <v>SAAB-B.ST – Saab AB</v>
      </c>
      <c r="H18" t="str">
        <f t="shared" si="5"/>
        <v>VOLV-B.ST – AB Volvo B</v>
      </c>
    </row>
    <row r="19" spans="1:8" x14ac:dyDescent="0.35">
      <c r="A19" t="s">
        <v>1</v>
      </c>
      <c r="B19" s="1" t="b">
        <f>ISNUMBER(LEFT(A19,4)+1-1)</f>
        <v>0</v>
      </c>
      <c r="C19" s="1" t="str">
        <f t="shared" si="6"/>
        <v>2025-11-06</v>
      </c>
      <c r="D19" t="str">
        <f t="shared" si="1"/>
        <v>ERIC-B.ST – Ericsson B</v>
      </c>
      <c r="E19" t="str">
        <f t="shared" si="2"/>
        <v>TELIA.ST – Telia Company</v>
      </c>
      <c r="F19" t="str">
        <f t="shared" si="3"/>
        <v>SAAB-B.ST – Saab AB</v>
      </c>
      <c r="G19" t="str">
        <f t="shared" si="4"/>
        <v>VOLV-B.ST – AB Volvo B</v>
      </c>
      <c r="H19" t="str">
        <f t="shared" si="5"/>
        <v>Perf (prev recs):</v>
      </c>
    </row>
    <row r="20" spans="1:8" x14ac:dyDescent="0.35">
      <c r="A20" t="s">
        <v>78</v>
      </c>
      <c r="B20" s="1" t="b">
        <f>ISNUMBER(LEFT(A20,4)+1-1)</f>
        <v>0</v>
      </c>
      <c r="C20" s="1" t="str">
        <f t="shared" si="6"/>
        <v>2025-11-06</v>
      </c>
      <c r="D20" t="str">
        <f t="shared" si="1"/>
        <v>TELIA.ST – Telia Company</v>
      </c>
      <c r="E20" t="str">
        <f t="shared" si="2"/>
        <v>SAAB-B.ST – Saab AB</v>
      </c>
      <c r="F20" t="str">
        <f t="shared" si="3"/>
        <v>VOLV-B.ST – AB Volvo B</v>
      </c>
      <c r="G20" t="str">
        <f t="shared" si="4"/>
        <v>Perf (prev recs):</v>
      </c>
      <c r="H20" t="str">
        <f t="shared" si="5"/>
        <v>N/A</v>
      </c>
    </row>
    <row r="21" spans="1:8" x14ac:dyDescent="0.35">
      <c r="A21" t="s">
        <v>79</v>
      </c>
      <c r="B21" s="1" t="b">
        <f>ISNUMBER(LEFT(A21,4)+1-1)</f>
        <v>0</v>
      </c>
      <c r="C21" s="1" t="str">
        <f t="shared" si="6"/>
        <v>2025-11-06</v>
      </c>
      <c r="D21" t="str">
        <f t="shared" si="1"/>
        <v>SAAB-B.ST – Saab AB</v>
      </c>
      <c r="E21" t="str">
        <f t="shared" si="2"/>
        <v>VOLV-B.ST – AB Volvo B</v>
      </c>
      <c r="F21" t="str">
        <f t="shared" si="3"/>
        <v>Perf (prev recs):</v>
      </c>
      <c r="G21" t="str">
        <f t="shared" si="4"/>
        <v>N/A</v>
      </c>
      <c r="H21">
        <f t="shared" si="5"/>
        <v>0</v>
      </c>
    </row>
    <row r="22" spans="1:8" x14ac:dyDescent="0.35">
      <c r="A22" t="s">
        <v>80</v>
      </c>
      <c r="B22" s="1" t="b">
        <f>ISNUMBER(LEFT(A22,4)+1-1)</f>
        <v>0</v>
      </c>
      <c r="C22" s="1" t="str">
        <f t="shared" si="6"/>
        <v>2025-11-06</v>
      </c>
      <c r="D22" t="str">
        <f t="shared" si="1"/>
        <v>VOLV-B.ST – AB Volvo B</v>
      </c>
      <c r="E22" t="str">
        <f t="shared" si="2"/>
        <v>Perf (prev recs):</v>
      </c>
      <c r="F22" t="str">
        <f t="shared" si="3"/>
        <v>N/A</v>
      </c>
      <c r="G22">
        <f t="shared" si="4"/>
        <v>0</v>
      </c>
      <c r="H22" t="str">
        <f t="shared" si="5"/>
        <v>2025-11-07 - Friday</v>
      </c>
    </row>
    <row r="23" spans="1:8" x14ac:dyDescent="0.35">
      <c r="A23" t="s">
        <v>81</v>
      </c>
      <c r="B23" s="1" t="b">
        <f>ISNUMBER(LEFT(A23,4)+1-1)</f>
        <v>0</v>
      </c>
      <c r="C23" s="1" t="str">
        <f t="shared" si="6"/>
        <v>2025-11-06</v>
      </c>
      <c r="D23" t="str">
        <f t="shared" si="1"/>
        <v>Perf (prev recs):</v>
      </c>
      <c r="E23" t="str">
        <f t="shared" si="2"/>
        <v>N/A</v>
      </c>
      <c r="F23">
        <f t="shared" si="3"/>
        <v>0</v>
      </c>
      <c r="G23" t="str">
        <f t="shared" si="4"/>
        <v>2025-11-07 - Friday</v>
      </c>
      <c r="H23" t="str">
        <f t="shared" si="5"/>
        <v>Recs:</v>
      </c>
    </row>
    <row r="24" spans="1:8" x14ac:dyDescent="0.35">
      <c r="A24" t="s">
        <v>82</v>
      </c>
      <c r="B24" s="1" t="b">
        <f>ISNUMBER(LEFT(A24,4)+1-1)</f>
        <v>0</v>
      </c>
      <c r="C24" s="1" t="str">
        <f t="shared" si="6"/>
        <v>2025-11-06</v>
      </c>
      <c r="D24" t="str">
        <f t="shared" si="1"/>
        <v>N/A</v>
      </c>
      <c r="E24">
        <f t="shared" si="2"/>
        <v>0</v>
      </c>
      <c r="F24" t="str">
        <f t="shared" si="3"/>
        <v>2025-11-07 - Friday</v>
      </c>
      <c r="G24" t="str">
        <f t="shared" si="4"/>
        <v>Recs:</v>
      </c>
      <c r="H24" t="str">
        <f t="shared" si="5"/>
        <v>TELIA.ST – Telia Company</v>
      </c>
    </row>
    <row r="25" spans="1:8" x14ac:dyDescent="0.35">
      <c r="A25" t="s">
        <v>7</v>
      </c>
      <c r="B25" s="1" t="b">
        <f>ISNUMBER(LEFT(A25,4)+1-1)</f>
        <v>0</v>
      </c>
      <c r="C25" s="1" t="str">
        <f t="shared" si="6"/>
        <v>2025-11-06</v>
      </c>
      <c r="D25">
        <f t="shared" si="1"/>
        <v>0</v>
      </c>
      <c r="E25" t="str">
        <f t="shared" si="2"/>
        <v>2025-11-07 - Friday</v>
      </c>
      <c r="F25" t="str">
        <f t="shared" si="3"/>
        <v>Recs:</v>
      </c>
      <c r="G25" t="str">
        <f t="shared" si="4"/>
        <v>TELIA.ST – Telia Company</v>
      </c>
      <c r="H25" t="str">
        <f t="shared" si="5"/>
        <v>ERIC-B.ST – Ericsson B</v>
      </c>
    </row>
    <row r="26" spans="1:8" x14ac:dyDescent="0.35">
      <c r="A26" t="s">
        <v>8</v>
      </c>
      <c r="B26" s="1" t="b">
        <f>ISNUMBER(LEFT(A26,4)+1-1)</f>
        <v>0</v>
      </c>
      <c r="C26" s="1" t="str">
        <f t="shared" si="6"/>
        <v>2025-11-06</v>
      </c>
      <c r="D26" t="str">
        <f t="shared" si="1"/>
        <v>2025-11-07 - Friday</v>
      </c>
      <c r="E26" t="str">
        <f t="shared" si="2"/>
        <v>Recs:</v>
      </c>
      <c r="F26" t="str">
        <f t="shared" si="3"/>
        <v>TELIA.ST – Telia Company</v>
      </c>
      <c r="G26" t="str">
        <f t="shared" si="4"/>
        <v>ERIC-B.ST – Ericsson B</v>
      </c>
      <c r="H26" t="str">
        <f t="shared" si="5"/>
        <v>SAAB-B.ST – Saab AB</v>
      </c>
    </row>
    <row r="27" spans="1:8" x14ac:dyDescent="0.35">
      <c r="B27" s="1" t="b">
        <f>ISNUMBER(LEFT(A27,4)+1-1)</f>
        <v>0</v>
      </c>
      <c r="C27" s="1" t="str">
        <f t="shared" si="6"/>
        <v>2025-11-06</v>
      </c>
      <c r="D27" t="str">
        <f t="shared" si="1"/>
        <v>Recs:</v>
      </c>
      <c r="E27" t="str">
        <f t="shared" si="2"/>
        <v>TELIA.ST – Telia Company</v>
      </c>
      <c r="F27" t="str">
        <f t="shared" si="3"/>
        <v>ERIC-B.ST – Ericsson B</v>
      </c>
      <c r="G27" t="str">
        <f t="shared" si="4"/>
        <v>SAAB-B.ST – Saab AB</v>
      </c>
      <c r="H27" t="str">
        <f t="shared" si="5"/>
        <v>VOLV-B.ST – AB Volvo B</v>
      </c>
    </row>
    <row r="28" spans="1:8" x14ac:dyDescent="0.35">
      <c r="A28" s="2" t="s">
        <v>83</v>
      </c>
      <c r="B28" s="1" t="b">
        <f>ISNUMBER(LEFT(A28,4)+1-1)</f>
        <v>1</v>
      </c>
      <c r="C28" s="1" t="str">
        <f t="shared" si="6"/>
        <v>2025-11-07</v>
      </c>
      <c r="D28" t="str">
        <f t="shared" si="1"/>
        <v>TELIA.ST – Telia Company</v>
      </c>
      <c r="E28" t="str">
        <f t="shared" si="2"/>
        <v>ERIC-B.ST – Ericsson B</v>
      </c>
      <c r="F28" t="str">
        <f t="shared" si="3"/>
        <v>SAAB-B.ST – Saab AB</v>
      </c>
      <c r="G28" t="str">
        <f t="shared" si="4"/>
        <v>VOLV-B.ST – AB Volvo B</v>
      </c>
      <c r="H28" t="str">
        <f t="shared" si="5"/>
        <v>NOK – Nokia Corporation</v>
      </c>
    </row>
    <row r="29" spans="1:8" x14ac:dyDescent="0.35">
      <c r="A29" t="s">
        <v>1</v>
      </c>
      <c r="B29" s="1" t="b">
        <f>ISNUMBER(LEFT(A29,4)+1-1)</f>
        <v>0</v>
      </c>
      <c r="C29" s="1" t="str">
        <f t="shared" si="6"/>
        <v>2025-11-07</v>
      </c>
      <c r="D29" t="str">
        <f t="shared" si="1"/>
        <v>ERIC-B.ST – Ericsson B</v>
      </c>
      <c r="E29" t="str">
        <f t="shared" si="2"/>
        <v>SAAB-B.ST – Saab AB</v>
      </c>
      <c r="F29" t="str">
        <f t="shared" si="3"/>
        <v>VOLV-B.ST – AB Volvo B</v>
      </c>
      <c r="G29" t="str">
        <f t="shared" si="4"/>
        <v>NOK – Nokia Corporation</v>
      </c>
      <c r="H29" t="str">
        <f t="shared" si="5"/>
        <v>Perf (prev recs):</v>
      </c>
    </row>
    <row r="30" spans="1:8" x14ac:dyDescent="0.35">
      <c r="A30" t="s">
        <v>80</v>
      </c>
      <c r="B30" s="1" t="b">
        <f>ISNUMBER(LEFT(A30,4)+1-1)</f>
        <v>0</v>
      </c>
      <c r="C30" s="1" t="str">
        <f t="shared" si="6"/>
        <v>2025-11-07</v>
      </c>
      <c r="D30" t="str">
        <f t="shared" si="1"/>
        <v>SAAB-B.ST – Saab AB</v>
      </c>
      <c r="E30" t="str">
        <f t="shared" si="2"/>
        <v>VOLV-B.ST – AB Volvo B</v>
      </c>
      <c r="F30" t="str">
        <f t="shared" si="3"/>
        <v>NOK – Nokia Corporation</v>
      </c>
      <c r="G30" t="str">
        <f t="shared" si="4"/>
        <v>Perf (prev recs):</v>
      </c>
      <c r="H30" t="str">
        <f t="shared" si="5"/>
        <v>SECU-B.ST N/A</v>
      </c>
    </row>
    <row r="31" spans="1:8" x14ac:dyDescent="0.35">
      <c r="A31" t="s">
        <v>79</v>
      </c>
      <c r="B31" s="1" t="b">
        <f>ISNUMBER(LEFT(A31,4)+1-1)</f>
        <v>0</v>
      </c>
      <c r="C31" s="1" t="str">
        <f t="shared" si="6"/>
        <v>2025-11-07</v>
      </c>
      <c r="D31" t="str">
        <f t="shared" si="1"/>
        <v>VOLV-B.ST – AB Volvo B</v>
      </c>
      <c r="E31" t="str">
        <f t="shared" si="2"/>
        <v>NOK – Nokia Corporation</v>
      </c>
      <c r="F31" t="str">
        <f t="shared" si="3"/>
        <v>Perf (prev recs):</v>
      </c>
      <c r="G31" t="str">
        <f t="shared" si="4"/>
        <v>SECU-B.ST N/A</v>
      </c>
      <c r="H31" t="str">
        <f t="shared" si="5"/>
        <v>TELIA.ST N/A</v>
      </c>
    </row>
    <row r="32" spans="1:8" x14ac:dyDescent="0.35">
      <c r="A32" t="s">
        <v>81</v>
      </c>
      <c r="B32" s="1" t="b">
        <f>ISNUMBER(LEFT(A32,4)+1-1)</f>
        <v>0</v>
      </c>
      <c r="C32" s="1" t="str">
        <f t="shared" si="6"/>
        <v>2025-11-07</v>
      </c>
      <c r="D32" t="str">
        <f t="shared" si="1"/>
        <v>NOK – Nokia Corporation</v>
      </c>
      <c r="E32" t="str">
        <f t="shared" si="2"/>
        <v>Perf (prev recs):</v>
      </c>
      <c r="F32" t="str">
        <f t="shared" si="3"/>
        <v>SECU-B.ST N/A</v>
      </c>
      <c r="G32" t="str">
        <f t="shared" si="4"/>
        <v>TELIA.ST N/A</v>
      </c>
      <c r="H32" t="str">
        <f t="shared" si="5"/>
        <v>SAAB-B.ST N/A</v>
      </c>
    </row>
    <row r="33" spans="1:8" x14ac:dyDescent="0.35">
      <c r="A33" t="s">
        <v>82</v>
      </c>
      <c r="B33" s="1" t="b">
        <f>ISNUMBER(LEFT(A33,4)+1-1)</f>
        <v>0</v>
      </c>
      <c r="C33" s="1" t="str">
        <f t="shared" si="6"/>
        <v>2025-11-07</v>
      </c>
      <c r="D33" t="str">
        <f t="shared" si="1"/>
        <v>Perf (prev recs):</v>
      </c>
      <c r="E33" t="str">
        <f t="shared" si="2"/>
        <v>SECU-B.ST N/A</v>
      </c>
      <c r="F33" t="str">
        <f t="shared" si="3"/>
        <v>TELIA.ST N/A</v>
      </c>
      <c r="G33" t="str">
        <f t="shared" si="4"/>
        <v>SAAB-B.ST N/A</v>
      </c>
      <c r="H33" t="str">
        <f t="shared" si="5"/>
        <v>VOLV-B.ST N/A</v>
      </c>
    </row>
    <row r="34" spans="1:8" x14ac:dyDescent="0.35">
      <c r="A34" t="s">
        <v>84</v>
      </c>
      <c r="B34" s="1" t="b">
        <f>ISNUMBER(LEFT(A34,4)+1-1)</f>
        <v>0</v>
      </c>
      <c r="C34" s="1" t="str">
        <f t="shared" si="6"/>
        <v>2025-11-07</v>
      </c>
      <c r="D34" t="str">
        <f t="shared" si="1"/>
        <v>SECU-B.ST N/A</v>
      </c>
      <c r="E34" t="str">
        <f t="shared" si="2"/>
        <v>TELIA.ST N/A</v>
      </c>
      <c r="F34" t="str">
        <f t="shared" si="3"/>
        <v>SAAB-B.ST N/A</v>
      </c>
      <c r="G34" t="str">
        <f t="shared" si="4"/>
        <v>VOLV-B.ST N/A</v>
      </c>
      <c r="H34" t="str">
        <f t="shared" si="5"/>
        <v>ERIC-B.ST N/A</v>
      </c>
    </row>
    <row r="35" spans="1:8" x14ac:dyDescent="0.35">
      <c r="A35" t="s">
        <v>7</v>
      </c>
      <c r="B35" s="1" t="b">
        <f>ISNUMBER(LEFT(A35,4)+1-1)</f>
        <v>0</v>
      </c>
      <c r="C35" s="1" t="str">
        <f t="shared" si="6"/>
        <v>2025-11-07</v>
      </c>
      <c r="D35" t="str">
        <f t="shared" si="1"/>
        <v>TELIA.ST N/A</v>
      </c>
      <c r="E35" t="str">
        <f t="shared" si="2"/>
        <v>SAAB-B.ST N/A</v>
      </c>
      <c r="F35" t="str">
        <f t="shared" si="3"/>
        <v>VOLV-B.ST N/A</v>
      </c>
      <c r="G35" t="str">
        <f t="shared" si="4"/>
        <v>ERIC-B.ST N/A</v>
      </c>
      <c r="H35" t="str">
        <f t="shared" si="5"/>
        <v>Avg N/A</v>
      </c>
    </row>
    <row r="36" spans="1:8" x14ac:dyDescent="0.35">
      <c r="A36" t="s">
        <v>85</v>
      </c>
      <c r="B36" s="1" t="b">
        <f>ISNUMBER(LEFT(A36,4)+1-1)</f>
        <v>0</v>
      </c>
      <c r="C36" s="1" t="str">
        <f t="shared" si="6"/>
        <v>2025-11-07</v>
      </c>
      <c r="D36" t="str">
        <f t="shared" si="1"/>
        <v>SAAB-B.ST N/A</v>
      </c>
      <c r="E36" t="str">
        <f t="shared" si="2"/>
        <v>VOLV-B.ST N/A</v>
      </c>
      <c r="F36" t="str">
        <f t="shared" si="3"/>
        <v>ERIC-B.ST N/A</v>
      </c>
      <c r="G36" t="str">
        <f t="shared" si="4"/>
        <v>Avg N/A</v>
      </c>
      <c r="H36" t="str">
        <f t="shared" si="5"/>
        <v>S&amp;P500 N/A</v>
      </c>
    </row>
    <row r="37" spans="1:8" x14ac:dyDescent="0.35">
      <c r="A37" t="s">
        <v>86</v>
      </c>
      <c r="B37" s="1" t="b">
        <f>ISNUMBER(LEFT(A37,4)+1-1)</f>
        <v>0</v>
      </c>
      <c r="C37" s="1" t="str">
        <f t="shared" si="6"/>
        <v>2025-11-07</v>
      </c>
      <c r="D37" t="str">
        <f t="shared" si="1"/>
        <v>VOLV-B.ST N/A</v>
      </c>
      <c r="E37" t="str">
        <f t="shared" si="2"/>
        <v>ERIC-B.ST N/A</v>
      </c>
      <c r="F37" t="str">
        <f t="shared" si="3"/>
        <v>Avg N/A</v>
      </c>
      <c r="G37" t="str">
        <f t="shared" si="4"/>
        <v>S&amp;P500 N/A</v>
      </c>
      <c r="H37">
        <f t="shared" si="5"/>
        <v>0</v>
      </c>
    </row>
    <row r="38" spans="1:8" x14ac:dyDescent="0.35">
      <c r="A38" t="s">
        <v>87</v>
      </c>
      <c r="B38" s="1" t="b">
        <f>ISNUMBER(LEFT(A38,4)+1-1)</f>
        <v>0</v>
      </c>
      <c r="C38" s="1" t="str">
        <f t="shared" si="6"/>
        <v>2025-11-07</v>
      </c>
      <c r="D38" t="str">
        <f t="shared" si="1"/>
        <v>ERIC-B.ST N/A</v>
      </c>
      <c r="E38" t="str">
        <f t="shared" si="2"/>
        <v>Avg N/A</v>
      </c>
      <c r="F38" t="str">
        <f t="shared" si="3"/>
        <v>S&amp;P500 N/A</v>
      </c>
      <c r="G38">
        <f t="shared" si="4"/>
        <v>0</v>
      </c>
      <c r="H38" t="str">
        <f t="shared" si="5"/>
        <v>2025-11-08 - Saturday</v>
      </c>
    </row>
    <row r="39" spans="1:8" x14ac:dyDescent="0.35">
      <c r="A39" t="s">
        <v>88</v>
      </c>
      <c r="B39" s="1" t="b">
        <f>ISNUMBER(LEFT(A39,4)+1-1)</f>
        <v>0</v>
      </c>
      <c r="C39" s="1" t="str">
        <f t="shared" si="6"/>
        <v>2025-11-07</v>
      </c>
      <c r="D39" t="str">
        <f t="shared" si="1"/>
        <v>Avg N/A</v>
      </c>
      <c r="E39" t="str">
        <f t="shared" si="2"/>
        <v>S&amp;P500 N/A</v>
      </c>
      <c r="F39">
        <f t="shared" si="3"/>
        <v>0</v>
      </c>
      <c r="G39" t="str">
        <f t="shared" si="4"/>
        <v>2025-11-08 - Saturday</v>
      </c>
      <c r="H39" t="str">
        <f t="shared" si="5"/>
        <v>Recs:</v>
      </c>
    </row>
    <row r="40" spans="1:8" x14ac:dyDescent="0.35">
      <c r="A40" t="s">
        <v>89</v>
      </c>
      <c r="B40" s="1" t="b">
        <f>ISNUMBER(LEFT(A40,4)+1-1)</f>
        <v>0</v>
      </c>
      <c r="C40" s="1" t="str">
        <f t="shared" si="6"/>
        <v>2025-11-07</v>
      </c>
      <c r="D40" t="str">
        <f t="shared" si="1"/>
        <v>S&amp;P500 N/A</v>
      </c>
      <c r="E40">
        <f t="shared" si="2"/>
        <v>0</v>
      </c>
      <c r="F40" t="str">
        <f t="shared" si="3"/>
        <v>2025-11-08 - Saturday</v>
      </c>
      <c r="G40" t="str">
        <f t="shared" si="4"/>
        <v>Recs:</v>
      </c>
      <c r="H40" t="str">
        <f t="shared" si="5"/>
        <v>SWEC-B.ST – Sweco AB</v>
      </c>
    </row>
    <row r="41" spans="1:8" x14ac:dyDescent="0.35">
      <c r="A41" t="s">
        <v>9</v>
      </c>
      <c r="B41" s="1" t="b">
        <f>ISNUMBER(LEFT(A41,4)+1-1)</f>
        <v>0</v>
      </c>
      <c r="C41" s="1" t="str">
        <f t="shared" si="6"/>
        <v>2025-11-07</v>
      </c>
      <c r="D41">
        <f t="shared" si="1"/>
        <v>0</v>
      </c>
      <c r="E41" t="str">
        <f t="shared" si="2"/>
        <v>2025-11-08 - Saturday</v>
      </c>
      <c r="F41" t="str">
        <f t="shared" si="3"/>
        <v>Recs:</v>
      </c>
      <c r="G41" t="str">
        <f t="shared" si="4"/>
        <v>SWEC-B.ST – Sweco AB</v>
      </c>
      <c r="H41" t="str">
        <f t="shared" si="5"/>
        <v>ATCO-A.ST – Atlas Copco A</v>
      </c>
    </row>
    <row r="42" spans="1:8" x14ac:dyDescent="0.35">
      <c r="A42" t="s">
        <v>10</v>
      </c>
      <c r="B42" s="1" t="b">
        <f>ISNUMBER(LEFT(A42,4)+1-1)</f>
        <v>0</v>
      </c>
      <c r="C42" s="1" t="str">
        <f t="shared" si="6"/>
        <v>2025-11-07</v>
      </c>
      <c r="D42" t="str">
        <f t="shared" si="1"/>
        <v>2025-11-08 - Saturday</v>
      </c>
      <c r="E42" t="str">
        <f t="shared" si="2"/>
        <v>Recs:</v>
      </c>
      <c r="F42" t="str">
        <f t="shared" si="3"/>
        <v>SWEC-B.ST – Sweco AB</v>
      </c>
      <c r="G42" t="str">
        <f t="shared" si="4"/>
        <v>ATCO-A.ST – Atlas Copco A</v>
      </c>
      <c r="H42" t="str">
        <f t="shared" si="5"/>
        <v>HEXA-B.ST – Hexagon AB</v>
      </c>
    </row>
    <row r="43" spans="1:8" x14ac:dyDescent="0.35">
      <c r="B43" s="1" t="b">
        <f>ISNUMBER(LEFT(A43,4)+1-1)</f>
        <v>0</v>
      </c>
      <c r="C43" s="1" t="str">
        <f t="shared" si="6"/>
        <v>2025-11-07</v>
      </c>
      <c r="D43" t="str">
        <f t="shared" si="1"/>
        <v>Recs:</v>
      </c>
      <c r="E43" t="str">
        <f t="shared" si="2"/>
        <v>SWEC-B.ST – Sweco AB</v>
      </c>
      <c r="F43" t="str">
        <f t="shared" si="3"/>
        <v>ATCO-A.ST – Atlas Copco A</v>
      </c>
      <c r="G43" t="str">
        <f t="shared" si="4"/>
        <v>HEXA-B.ST – Hexagon AB</v>
      </c>
      <c r="H43" t="str">
        <f t="shared" si="5"/>
        <v>INVE-B.ST – Investor AB</v>
      </c>
    </row>
    <row r="44" spans="1:8" x14ac:dyDescent="0.35">
      <c r="A44" s="2" t="s">
        <v>90</v>
      </c>
      <c r="B44" s="1" t="b">
        <f>ISNUMBER(LEFT(A44,4)+1-1)</f>
        <v>1</v>
      </c>
      <c r="C44" s="1" t="str">
        <f t="shared" si="6"/>
        <v>2025-11-08</v>
      </c>
      <c r="D44" t="str">
        <f t="shared" si="1"/>
        <v>SWEC-B.ST – Sweco AB</v>
      </c>
      <c r="E44" t="str">
        <f t="shared" si="2"/>
        <v>ATCO-A.ST – Atlas Copco A</v>
      </c>
      <c r="F44" t="str">
        <f t="shared" si="3"/>
        <v>HEXA-B.ST – Hexagon AB</v>
      </c>
      <c r="G44" t="str">
        <f t="shared" si="4"/>
        <v>INVE-B.ST – Investor AB</v>
      </c>
      <c r="H44" t="str">
        <f t="shared" si="5"/>
        <v>SAND.ST – Sandvik AB</v>
      </c>
    </row>
    <row r="45" spans="1:8" x14ac:dyDescent="0.35">
      <c r="A45" t="s">
        <v>1</v>
      </c>
      <c r="B45" s="1" t="b">
        <f>ISNUMBER(LEFT(A45,4)+1-1)</f>
        <v>0</v>
      </c>
      <c r="C45" s="1" t="str">
        <f t="shared" si="6"/>
        <v>2025-11-08</v>
      </c>
      <c r="D45" t="str">
        <f t="shared" si="1"/>
        <v>ATCO-A.ST – Atlas Copco A</v>
      </c>
      <c r="E45" t="str">
        <f t="shared" si="2"/>
        <v>HEXA-B.ST – Hexagon AB</v>
      </c>
      <c r="F45" t="str">
        <f t="shared" si="3"/>
        <v>INVE-B.ST – Investor AB</v>
      </c>
      <c r="G45" t="str">
        <f t="shared" si="4"/>
        <v>SAND.ST – Sandvik AB</v>
      </c>
      <c r="H45" t="str">
        <f t="shared" si="5"/>
        <v>Perf (prev recs):</v>
      </c>
    </row>
    <row r="46" spans="1:8" x14ac:dyDescent="0.35">
      <c r="A46" t="s">
        <v>91</v>
      </c>
      <c r="B46" s="1" t="b">
        <f>ISNUMBER(LEFT(A46,4)+1-1)</f>
        <v>0</v>
      </c>
      <c r="C46" s="1" t="str">
        <f t="shared" si="6"/>
        <v>2025-11-08</v>
      </c>
      <c r="D46" t="str">
        <f t="shared" si="1"/>
        <v>HEXA-B.ST – Hexagon AB</v>
      </c>
      <c r="E46" t="str">
        <f t="shared" si="2"/>
        <v>INVE-B.ST – Investor AB</v>
      </c>
      <c r="F46" t="str">
        <f t="shared" si="3"/>
        <v>SAND.ST – Sandvik AB</v>
      </c>
      <c r="G46" t="str">
        <f t="shared" si="4"/>
        <v>Perf (prev recs):</v>
      </c>
      <c r="H46" t="str">
        <f t="shared" si="5"/>
        <v>TELIA.ST N/A</v>
      </c>
    </row>
    <row r="47" spans="1:8" x14ac:dyDescent="0.35">
      <c r="A47" t="s">
        <v>92</v>
      </c>
      <c r="B47" s="1" t="b">
        <f>ISNUMBER(LEFT(A47,4)+1-1)</f>
        <v>0</v>
      </c>
      <c r="C47" s="1" t="str">
        <f t="shared" si="6"/>
        <v>2025-11-08</v>
      </c>
      <c r="D47" t="str">
        <f t="shared" si="1"/>
        <v>INVE-B.ST – Investor AB</v>
      </c>
      <c r="E47" t="str">
        <f t="shared" si="2"/>
        <v>SAND.ST – Sandvik AB</v>
      </c>
      <c r="F47" t="str">
        <f t="shared" si="3"/>
        <v>Perf (prev recs):</v>
      </c>
      <c r="G47" t="str">
        <f t="shared" si="4"/>
        <v>TELIA.ST N/A</v>
      </c>
      <c r="H47" t="str">
        <f t="shared" si="5"/>
        <v>ERIC-B.ST N/A</v>
      </c>
    </row>
    <row r="48" spans="1:8" x14ac:dyDescent="0.35">
      <c r="A48" t="s">
        <v>93</v>
      </c>
      <c r="B48" s="1" t="b">
        <f>ISNUMBER(LEFT(A48,4)+1-1)</f>
        <v>0</v>
      </c>
      <c r="C48" s="1" t="str">
        <f t="shared" si="6"/>
        <v>2025-11-08</v>
      </c>
      <c r="D48" t="str">
        <f t="shared" si="1"/>
        <v>SAND.ST – Sandvik AB</v>
      </c>
      <c r="E48" t="str">
        <f t="shared" si="2"/>
        <v>Perf (prev recs):</v>
      </c>
      <c r="F48" t="str">
        <f t="shared" si="3"/>
        <v>TELIA.ST N/A</v>
      </c>
      <c r="G48" t="str">
        <f t="shared" si="4"/>
        <v>ERIC-B.ST N/A</v>
      </c>
      <c r="H48" t="str">
        <f t="shared" si="5"/>
        <v>SAAB-B.ST N/A</v>
      </c>
    </row>
    <row r="49" spans="1:8" x14ac:dyDescent="0.35">
      <c r="A49" t="s">
        <v>94</v>
      </c>
      <c r="B49" s="1" t="b">
        <f>ISNUMBER(LEFT(A49,4)+1-1)</f>
        <v>0</v>
      </c>
      <c r="C49" s="1" t="str">
        <f t="shared" si="6"/>
        <v>2025-11-08</v>
      </c>
      <c r="D49" t="str">
        <f t="shared" si="1"/>
        <v>Perf (prev recs):</v>
      </c>
      <c r="E49" t="str">
        <f t="shared" si="2"/>
        <v>TELIA.ST N/A</v>
      </c>
      <c r="F49" t="str">
        <f t="shared" si="3"/>
        <v>ERIC-B.ST N/A</v>
      </c>
      <c r="G49" t="str">
        <f t="shared" si="4"/>
        <v>SAAB-B.ST N/A</v>
      </c>
      <c r="H49" t="str">
        <f t="shared" si="5"/>
        <v>VOLV-B.ST N/A</v>
      </c>
    </row>
    <row r="50" spans="1:8" x14ac:dyDescent="0.35">
      <c r="A50" t="s">
        <v>38</v>
      </c>
      <c r="B50" s="1" t="b">
        <f>ISNUMBER(LEFT(A50,4)+1-1)</f>
        <v>0</v>
      </c>
      <c r="C50" s="1" t="str">
        <f t="shared" si="6"/>
        <v>2025-11-08</v>
      </c>
      <c r="D50" t="str">
        <f t="shared" si="1"/>
        <v>TELIA.ST N/A</v>
      </c>
      <c r="E50" t="str">
        <f t="shared" si="2"/>
        <v>ERIC-B.ST N/A</v>
      </c>
      <c r="F50" t="str">
        <f t="shared" si="3"/>
        <v>SAAB-B.ST N/A</v>
      </c>
      <c r="G50" t="str">
        <f t="shared" si="4"/>
        <v>VOLV-B.ST N/A</v>
      </c>
      <c r="H50" t="str">
        <f t="shared" si="5"/>
        <v>NOK N/A</v>
      </c>
    </row>
    <row r="51" spans="1:8" x14ac:dyDescent="0.35">
      <c r="A51" t="s">
        <v>7</v>
      </c>
      <c r="B51" s="1" t="b">
        <f>ISNUMBER(LEFT(A51,4)+1-1)</f>
        <v>0</v>
      </c>
      <c r="C51" s="1" t="str">
        <f t="shared" si="6"/>
        <v>2025-11-08</v>
      </c>
      <c r="D51" t="str">
        <f t="shared" si="1"/>
        <v>ERIC-B.ST N/A</v>
      </c>
      <c r="E51" t="str">
        <f t="shared" si="2"/>
        <v>SAAB-B.ST N/A</v>
      </c>
      <c r="F51" t="str">
        <f t="shared" si="3"/>
        <v>VOLV-B.ST N/A</v>
      </c>
      <c r="G51" t="str">
        <f t="shared" si="4"/>
        <v>NOK N/A</v>
      </c>
      <c r="H51" t="str">
        <f t="shared" si="5"/>
        <v>Avg N/A</v>
      </c>
    </row>
    <row r="52" spans="1:8" x14ac:dyDescent="0.35">
      <c r="A52" t="s">
        <v>86</v>
      </c>
      <c r="B52" s="1" t="b">
        <f>ISNUMBER(LEFT(A52,4)+1-1)</f>
        <v>0</v>
      </c>
      <c r="C52" s="1" t="str">
        <f t="shared" si="6"/>
        <v>2025-11-08</v>
      </c>
      <c r="D52" t="str">
        <f t="shared" si="1"/>
        <v>SAAB-B.ST N/A</v>
      </c>
      <c r="E52" t="str">
        <f t="shared" si="2"/>
        <v>VOLV-B.ST N/A</v>
      </c>
      <c r="F52" t="str">
        <f t="shared" si="3"/>
        <v>NOK N/A</v>
      </c>
      <c r="G52" t="str">
        <f t="shared" si="4"/>
        <v>Avg N/A</v>
      </c>
      <c r="H52" t="str">
        <f t="shared" si="5"/>
        <v>S&amp;P500 N/A</v>
      </c>
    </row>
    <row r="53" spans="1:8" x14ac:dyDescent="0.35">
      <c r="A53" t="s">
        <v>89</v>
      </c>
      <c r="B53" s="1" t="b">
        <f>ISNUMBER(LEFT(A53,4)+1-1)</f>
        <v>0</v>
      </c>
      <c r="C53" s="1" t="str">
        <f t="shared" si="6"/>
        <v>2025-11-08</v>
      </c>
      <c r="D53" t="str">
        <f t="shared" si="1"/>
        <v>VOLV-B.ST N/A</v>
      </c>
      <c r="E53" t="str">
        <f t="shared" si="2"/>
        <v>NOK N/A</v>
      </c>
      <c r="F53" t="str">
        <f t="shared" si="3"/>
        <v>Avg N/A</v>
      </c>
      <c r="G53" t="str">
        <f t="shared" si="4"/>
        <v>S&amp;P500 N/A</v>
      </c>
      <c r="H53">
        <f t="shared" si="5"/>
        <v>0</v>
      </c>
    </row>
    <row r="54" spans="1:8" x14ac:dyDescent="0.35">
      <c r="A54" t="s">
        <v>87</v>
      </c>
      <c r="B54" s="1" t="b">
        <f>ISNUMBER(LEFT(A54,4)+1-1)</f>
        <v>0</v>
      </c>
      <c r="C54" s="1" t="str">
        <f t="shared" si="6"/>
        <v>2025-11-08</v>
      </c>
      <c r="D54" t="str">
        <f t="shared" si="1"/>
        <v>NOK N/A</v>
      </c>
      <c r="E54" t="str">
        <f t="shared" si="2"/>
        <v>Avg N/A</v>
      </c>
      <c r="F54" t="str">
        <f t="shared" si="3"/>
        <v>S&amp;P500 N/A</v>
      </c>
      <c r="G54">
        <f t="shared" si="4"/>
        <v>0</v>
      </c>
      <c r="H54" t="str">
        <f t="shared" si="5"/>
        <v>2025-11-09 - Sunday</v>
      </c>
    </row>
    <row r="55" spans="1:8" x14ac:dyDescent="0.35">
      <c r="A55" t="s">
        <v>88</v>
      </c>
      <c r="B55" s="1" t="b">
        <f>ISNUMBER(LEFT(A55,4)+1-1)</f>
        <v>0</v>
      </c>
      <c r="C55" s="1" t="str">
        <f t="shared" si="6"/>
        <v>2025-11-08</v>
      </c>
      <c r="D55" t="str">
        <f t="shared" si="1"/>
        <v>Avg N/A</v>
      </c>
      <c r="E55" t="str">
        <f t="shared" si="2"/>
        <v>S&amp;P500 N/A</v>
      </c>
      <c r="F55">
        <f t="shared" si="3"/>
        <v>0</v>
      </c>
      <c r="G55" t="str">
        <f t="shared" si="4"/>
        <v>2025-11-09 - Sunday</v>
      </c>
      <c r="H55" t="str">
        <f t="shared" si="5"/>
        <v>Recs:</v>
      </c>
    </row>
    <row r="56" spans="1:8" x14ac:dyDescent="0.35">
      <c r="A56" t="s">
        <v>95</v>
      </c>
      <c r="B56" s="1" t="b">
        <f>ISNUMBER(LEFT(A56,4)+1-1)</f>
        <v>0</v>
      </c>
      <c r="C56" s="1" t="str">
        <f t="shared" si="6"/>
        <v>2025-11-08</v>
      </c>
      <c r="D56" t="str">
        <f t="shared" si="1"/>
        <v>S&amp;P500 N/A</v>
      </c>
      <c r="E56">
        <f t="shared" si="2"/>
        <v>0</v>
      </c>
      <c r="F56" t="str">
        <f t="shared" si="3"/>
        <v>2025-11-09 - Sunday</v>
      </c>
      <c r="G56" t="str">
        <f t="shared" si="4"/>
        <v>Recs:</v>
      </c>
      <c r="H56" t="str">
        <f t="shared" si="5"/>
        <v>SWEC-B.ST – Sweco AB</v>
      </c>
    </row>
    <row r="57" spans="1:8" x14ac:dyDescent="0.35">
      <c r="A57" t="s">
        <v>9</v>
      </c>
      <c r="B57" s="1" t="b">
        <f>ISNUMBER(LEFT(A57,4)+1-1)</f>
        <v>0</v>
      </c>
      <c r="C57" s="1" t="str">
        <f t="shared" si="6"/>
        <v>2025-11-08</v>
      </c>
      <c r="D57">
        <f t="shared" si="1"/>
        <v>0</v>
      </c>
      <c r="E57" t="str">
        <f t="shared" si="2"/>
        <v>2025-11-09 - Sunday</v>
      </c>
      <c r="F57" t="str">
        <f t="shared" si="3"/>
        <v>Recs:</v>
      </c>
      <c r="G57" t="str">
        <f t="shared" si="4"/>
        <v>SWEC-B.ST – Sweco AB</v>
      </c>
      <c r="H57" t="str">
        <f t="shared" si="5"/>
        <v>ERIC-B.ST – Ericsson AB B</v>
      </c>
    </row>
    <row r="58" spans="1:8" x14ac:dyDescent="0.35">
      <c r="A58" t="s">
        <v>10</v>
      </c>
      <c r="B58" s="1" t="b">
        <f>ISNUMBER(LEFT(A58,4)+1-1)</f>
        <v>0</v>
      </c>
      <c r="C58" s="1" t="str">
        <f t="shared" si="6"/>
        <v>2025-11-08</v>
      </c>
      <c r="D58" t="str">
        <f t="shared" si="1"/>
        <v>2025-11-09 - Sunday</v>
      </c>
      <c r="E58" t="str">
        <f t="shared" si="2"/>
        <v>Recs:</v>
      </c>
      <c r="F58" t="str">
        <f t="shared" si="3"/>
        <v>SWEC-B.ST – Sweco AB</v>
      </c>
      <c r="G58" t="str">
        <f t="shared" si="4"/>
        <v>ERIC-B.ST – Ericsson AB B</v>
      </c>
      <c r="H58" t="str">
        <f t="shared" si="5"/>
        <v>SSAB-B.ST – SSAB AB B</v>
      </c>
    </row>
    <row r="59" spans="1:8" x14ac:dyDescent="0.35">
      <c r="B59" s="1" t="b">
        <f>ISNUMBER(LEFT(A59,4)+1-1)</f>
        <v>0</v>
      </c>
      <c r="C59" s="1" t="str">
        <f t="shared" si="6"/>
        <v>2025-11-08</v>
      </c>
      <c r="D59" t="str">
        <f t="shared" si="1"/>
        <v>Recs:</v>
      </c>
      <c r="E59" t="str">
        <f t="shared" si="2"/>
        <v>SWEC-B.ST – Sweco AB</v>
      </c>
      <c r="F59" t="str">
        <f t="shared" si="3"/>
        <v>ERIC-B.ST – Ericsson AB B</v>
      </c>
      <c r="G59" t="str">
        <f t="shared" si="4"/>
        <v>SSAB-B.ST – SSAB AB B</v>
      </c>
      <c r="H59" t="str">
        <f t="shared" si="5"/>
        <v>SHBa.ST – Handelsbanken AB</v>
      </c>
    </row>
    <row r="60" spans="1:8" x14ac:dyDescent="0.35">
      <c r="A60" s="2" t="s">
        <v>96</v>
      </c>
      <c r="B60" s="1" t="b">
        <f>ISNUMBER(LEFT(A60,4)+1-1)</f>
        <v>1</v>
      </c>
      <c r="C60" s="1" t="str">
        <f t="shared" si="6"/>
        <v>2025-11-09</v>
      </c>
      <c r="D60" t="str">
        <f t="shared" si="1"/>
        <v>SWEC-B.ST – Sweco AB</v>
      </c>
      <c r="E60" t="str">
        <f t="shared" si="2"/>
        <v>ERIC-B.ST – Ericsson AB B</v>
      </c>
      <c r="F60" t="str">
        <f t="shared" si="3"/>
        <v>SSAB-B.ST – SSAB AB B</v>
      </c>
      <c r="G60" t="str">
        <f t="shared" si="4"/>
        <v>SHBa.ST – Handelsbanken AB</v>
      </c>
      <c r="H60" t="str">
        <f t="shared" si="5"/>
        <v>INVE-B.ST – Investor AB B</v>
      </c>
    </row>
    <row r="61" spans="1:8" x14ac:dyDescent="0.35">
      <c r="A61" t="s">
        <v>1</v>
      </c>
      <c r="B61" s="1" t="b">
        <f>ISNUMBER(LEFT(A61,4)+1-1)</f>
        <v>0</v>
      </c>
      <c r="C61" s="1" t="str">
        <f t="shared" si="6"/>
        <v>2025-11-09</v>
      </c>
      <c r="D61" t="str">
        <f t="shared" si="1"/>
        <v>ERIC-B.ST – Ericsson AB B</v>
      </c>
      <c r="E61" t="str">
        <f t="shared" si="2"/>
        <v>SSAB-B.ST – SSAB AB B</v>
      </c>
      <c r="F61" t="str">
        <f t="shared" si="3"/>
        <v>SHBa.ST – Handelsbanken AB</v>
      </c>
      <c r="G61" t="str">
        <f t="shared" si="4"/>
        <v>INVE-B.ST – Investor AB B</v>
      </c>
      <c r="H61" t="str">
        <f t="shared" si="5"/>
        <v>Perf (prev recs):</v>
      </c>
    </row>
    <row r="62" spans="1:8" x14ac:dyDescent="0.35">
      <c r="A62" t="s">
        <v>91</v>
      </c>
      <c r="B62" s="1" t="b">
        <f>ISNUMBER(LEFT(A62,4)+1-1)</f>
        <v>0</v>
      </c>
      <c r="C62" s="1" t="str">
        <f t="shared" si="6"/>
        <v>2025-11-09</v>
      </c>
      <c r="D62" t="str">
        <f t="shared" si="1"/>
        <v>SSAB-B.ST – SSAB AB B</v>
      </c>
      <c r="E62" t="str">
        <f t="shared" si="2"/>
        <v>SHBa.ST – Handelsbanken AB</v>
      </c>
      <c r="F62" t="str">
        <f t="shared" si="3"/>
        <v>INVE-B.ST – Investor AB B</v>
      </c>
      <c r="G62" t="str">
        <f t="shared" si="4"/>
        <v>Perf (prev recs):</v>
      </c>
      <c r="H62" t="str">
        <f t="shared" si="5"/>
        <v>TELIA.ST N/A</v>
      </c>
    </row>
    <row r="63" spans="1:8" x14ac:dyDescent="0.35">
      <c r="A63" t="s">
        <v>97</v>
      </c>
      <c r="B63" s="1" t="b">
        <f>ISNUMBER(LEFT(A63,4)+1-1)</f>
        <v>0</v>
      </c>
      <c r="C63" s="1" t="str">
        <f t="shared" si="6"/>
        <v>2025-11-09</v>
      </c>
      <c r="D63" t="str">
        <f t="shared" si="1"/>
        <v>SHBa.ST – Handelsbanken AB</v>
      </c>
      <c r="E63" t="str">
        <f t="shared" si="2"/>
        <v>INVE-B.ST – Investor AB B</v>
      </c>
      <c r="F63" t="str">
        <f t="shared" si="3"/>
        <v>Perf (prev recs):</v>
      </c>
      <c r="G63" t="str">
        <f t="shared" si="4"/>
        <v>TELIA.ST N/A</v>
      </c>
      <c r="H63" t="str">
        <f t="shared" si="5"/>
        <v>ERIC-B.ST N/A</v>
      </c>
    </row>
    <row r="64" spans="1:8" x14ac:dyDescent="0.35">
      <c r="A64" t="s">
        <v>98</v>
      </c>
      <c r="B64" s="1" t="b">
        <f>ISNUMBER(LEFT(A64,4)+1-1)</f>
        <v>0</v>
      </c>
      <c r="C64" s="1" t="str">
        <f t="shared" si="6"/>
        <v>2025-11-09</v>
      </c>
      <c r="D64" t="str">
        <f t="shared" si="1"/>
        <v>INVE-B.ST – Investor AB B</v>
      </c>
      <c r="E64" t="str">
        <f t="shared" si="2"/>
        <v>Perf (prev recs):</v>
      </c>
      <c r="F64" t="str">
        <f t="shared" si="3"/>
        <v>TELIA.ST N/A</v>
      </c>
      <c r="G64" t="str">
        <f t="shared" si="4"/>
        <v>ERIC-B.ST N/A</v>
      </c>
      <c r="H64" t="str">
        <f t="shared" si="5"/>
        <v>SAAB-B.ST N/A</v>
      </c>
    </row>
    <row r="65" spans="1:8" x14ac:dyDescent="0.35">
      <c r="A65" t="s">
        <v>99</v>
      </c>
      <c r="B65" s="1" t="b">
        <f>ISNUMBER(LEFT(A65,4)+1-1)</f>
        <v>0</v>
      </c>
      <c r="C65" s="1" t="str">
        <f t="shared" si="6"/>
        <v>2025-11-09</v>
      </c>
      <c r="D65" t="str">
        <f t="shared" si="1"/>
        <v>Perf (prev recs):</v>
      </c>
      <c r="E65" t="str">
        <f t="shared" si="2"/>
        <v>TELIA.ST N/A</v>
      </c>
      <c r="F65" t="str">
        <f t="shared" si="3"/>
        <v>ERIC-B.ST N/A</v>
      </c>
      <c r="G65" t="str">
        <f t="shared" si="4"/>
        <v>SAAB-B.ST N/A</v>
      </c>
      <c r="H65" t="str">
        <f t="shared" si="5"/>
        <v>VOLV-B.ST N/A</v>
      </c>
    </row>
    <row r="66" spans="1:8" x14ac:dyDescent="0.35">
      <c r="A66" t="s">
        <v>100</v>
      </c>
      <c r="B66" s="1" t="b">
        <f>ISNUMBER(LEFT(A66,4)+1-1)</f>
        <v>0</v>
      </c>
      <c r="C66" s="1" t="str">
        <f t="shared" si="6"/>
        <v>2025-11-09</v>
      </c>
      <c r="D66" t="str">
        <f t="shared" si="1"/>
        <v>TELIA.ST N/A</v>
      </c>
      <c r="E66" t="str">
        <f t="shared" si="2"/>
        <v>ERIC-B.ST N/A</v>
      </c>
      <c r="F66" t="str">
        <f t="shared" si="3"/>
        <v>SAAB-B.ST N/A</v>
      </c>
      <c r="G66" t="str">
        <f t="shared" si="4"/>
        <v>VOLV-B.ST N/A</v>
      </c>
      <c r="H66" t="str">
        <f t="shared" si="5"/>
        <v>NOK N/A</v>
      </c>
    </row>
    <row r="67" spans="1:8" x14ac:dyDescent="0.35">
      <c r="A67" t="s">
        <v>7</v>
      </c>
      <c r="B67" s="1" t="b">
        <f>ISNUMBER(LEFT(A67,4)+1-1)</f>
        <v>0</v>
      </c>
      <c r="C67" s="1" t="str">
        <f t="shared" si="6"/>
        <v>2025-11-09</v>
      </c>
      <c r="D67" t="str">
        <f t="shared" ref="D67:D130" si="7">A69</f>
        <v>ERIC-B.ST N/A</v>
      </c>
      <c r="E67" t="str">
        <f t="shared" ref="E67:E130" si="8">A70</f>
        <v>SAAB-B.ST N/A</v>
      </c>
      <c r="F67" t="str">
        <f t="shared" ref="F67:F130" si="9">A71</f>
        <v>VOLV-B.ST N/A</v>
      </c>
      <c r="G67" t="str">
        <f t="shared" ref="G67:G130" si="10">A72</f>
        <v>NOK N/A</v>
      </c>
      <c r="H67" t="str">
        <f t="shared" ref="H67:H130" si="11">A73</f>
        <v>Avg N/A</v>
      </c>
    </row>
    <row r="68" spans="1:8" x14ac:dyDescent="0.35">
      <c r="A68" t="s">
        <v>86</v>
      </c>
      <c r="B68" s="1" t="b">
        <f>ISNUMBER(LEFT(A68,4)+1-1)</f>
        <v>0</v>
      </c>
      <c r="C68" s="1" t="str">
        <f t="shared" ref="C68:C131" si="12">IF(B68,LEFT(A68,10),C67)</f>
        <v>2025-11-09</v>
      </c>
      <c r="D68" t="str">
        <f t="shared" si="7"/>
        <v>SAAB-B.ST N/A</v>
      </c>
      <c r="E68" t="str">
        <f t="shared" si="8"/>
        <v>VOLV-B.ST N/A</v>
      </c>
      <c r="F68" t="str">
        <f t="shared" si="9"/>
        <v>NOK N/A</v>
      </c>
      <c r="G68" t="str">
        <f t="shared" si="10"/>
        <v>Avg N/A</v>
      </c>
      <c r="H68" t="str">
        <f t="shared" si="11"/>
        <v>S&amp;P500 N/A</v>
      </c>
    </row>
    <row r="69" spans="1:8" x14ac:dyDescent="0.35">
      <c r="A69" t="s">
        <v>89</v>
      </c>
      <c r="B69" s="1" t="b">
        <f>ISNUMBER(LEFT(A69,4)+1-1)</f>
        <v>0</v>
      </c>
      <c r="C69" s="1" t="str">
        <f t="shared" si="12"/>
        <v>2025-11-09</v>
      </c>
      <c r="D69" t="str">
        <f t="shared" si="7"/>
        <v>VOLV-B.ST N/A</v>
      </c>
      <c r="E69" t="str">
        <f t="shared" si="8"/>
        <v>NOK N/A</v>
      </c>
      <c r="F69" t="str">
        <f t="shared" si="9"/>
        <v>Avg N/A</v>
      </c>
      <c r="G69" t="str">
        <f t="shared" si="10"/>
        <v>S&amp;P500 N/A</v>
      </c>
      <c r="H69">
        <f t="shared" si="11"/>
        <v>0</v>
      </c>
    </row>
    <row r="70" spans="1:8" x14ac:dyDescent="0.35">
      <c r="A70" t="s">
        <v>87</v>
      </c>
      <c r="B70" s="1" t="b">
        <f>ISNUMBER(LEFT(A70,4)+1-1)</f>
        <v>0</v>
      </c>
      <c r="C70" s="1" t="str">
        <f t="shared" si="12"/>
        <v>2025-11-09</v>
      </c>
      <c r="D70" t="str">
        <f t="shared" si="7"/>
        <v>NOK N/A</v>
      </c>
      <c r="E70" t="str">
        <f t="shared" si="8"/>
        <v>Avg N/A</v>
      </c>
      <c r="F70" t="str">
        <f t="shared" si="9"/>
        <v>S&amp;P500 N/A</v>
      </c>
      <c r="G70">
        <f t="shared" si="10"/>
        <v>0</v>
      </c>
      <c r="H70" t="str">
        <f t="shared" si="11"/>
        <v>2025-11-10 - Monday</v>
      </c>
    </row>
    <row r="71" spans="1:8" x14ac:dyDescent="0.35">
      <c r="A71" t="s">
        <v>88</v>
      </c>
      <c r="B71" s="1" t="b">
        <f>ISNUMBER(LEFT(A71,4)+1-1)</f>
        <v>0</v>
      </c>
      <c r="C71" s="1" t="str">
        <f t="shared" si="12"/>
        <v>2025-11-09</v>
      </c>
      <c r="D71" t="str">
        <f t="shared" si="7"/>
        <v>Avg N/A</v>
      </c>
      <c r="E71" t="str">
        <f t="shared" si="8"/>
        <v>S&amp;P500 N/A</v>
      </c>
      <c r="F71">
        <f t="shared" si="9"/>
        <v>0</v>
      </c>
      <c r="G71" t="str">
        <f t="shared" si="10"/>
        <v>2025-11-10 - Monday</v>
      </c>
      <c r="H71" t="str">
        <f t="shared" si="11"/>
        <v>Recs:</v>
      </c>
    </row>
    <row r="72" spans="1:8" x14ac:dyDescent="0.35">
      <c r="A72" t="s">
        <v>95</v>
      </c>
      <c r="B72" s="1" t="b">
        <f>ISNUMBER(LEFT(A72,4)+1-1)</f>
        <v>0</v>
      </c>
      <c r="C72" s="1" t="str">
        <f t="shared" si="12"/>
        <v>2025-11-09</v>
      </c>
      <c r="D72" t="str">
        <f t="shared" si="7"/>
        <v>S&amp;P500 N/A</v>
      </c>
      <c r="E72">
        <f t="shared" si="8"/>
        <v>0</v>
      </c>
      <c r="F72" t="str">
        <f t="shared" si="9"/>
        <v>2025-11-10 - Monday</v>
      </c>
      <c r="G72" t="str">
        <f t="shared" si="10"/>
        <v>Recs:</v>
      </c>
      <c r="H72" t="str">
        <f t="shared" si="11"/>
        <v>HEXA‑B.ST – Hexagon AB</v>
      </c>
    </row>
    <row r="73" spans="1:8" x14ac:dyDescent="0.35">
      <c r="A73" t="s">
        <v>9</v>
      </c>
      <c r="B73" s="1" t="b">
        <f>ISNUMBER(LEFT(A73,4)+1-1)</f>
        <v>0</v>
      </c>
      <c r="C73" s="1" t="str">
        <f t="shared" si="12"/>
        <v>2025-11-09</v>
      </c>
      <c r="D73">
        <f t="shared" si="7"/>
        <v>0</v>
      </c>
      <c r="E73" t="str">
        <f t="shared" si="8"/>
        <v>2025-11-10 - Monday</v>
      </c>
      <c r="F73" t="str">
        <f t="shared" si="9"/>
        <v>Recs:</v>
      </c>
      <c r="G73" t="str">
        <f t="shared" si="10"/>
        <v>HEXA‑B.ST – Hexagon AB</v>
      </c>
      <c r="H73" t="str">
        <f t="shared" si="11"/>
        <v>AZN – AstraZeneca plc</v>
      </c>
    </row>
    <row r="74" spans="1:8" x14ac:dyDescent="0.35">
      <c r="A74" t="s">
        <v>10</v>
      </c>
      <c r="B74" s="1" t="b">
        <f>ISNUMBER(LEFT(A74,4)+1-1)</f>
        <v>0</v>
      </c>
      <c r="C74" s="1" t="str">
        <f t="shared" si="12"/>
        <v>2025-11-09</v>
      </c>
      <c r="D74" t="str">
        <f t="shared" si="7"/>
        <v>2025-11-10 - Monday</v>
      </c>
      <c r="E74" t="str">
        <f t="shared" si="8"/>
        <v>Recs:</v>
      </c>
      <c r="F74" t="str">
        <f t="shared" si="9"/>
        <v>HEXA‑B.ST – Hexagon AB</v>
      </c>
      <c r="G74" t="str">
        <f t="shared" si="10"/>
        <v>AZN – AstraZeneca plc</v>
      </c>
      <c r="H74" t="str">
        <f t="shared" si="11"/>
        <v>EQTAB.ST – EQT AB</v>
      </c>
    </row>
    <row r="75" spans="1:8" x14ac:dyDescent="0.35">
      <c r="B75" s="1" t="b">
        <f>ISNUMBER(LEFT(A75,4)+1-1)</f>
        <v>0</v>
      </c>
      <c r="C75" s="1" t="str">
        <f t="shared" si="12"/>
        <v>2025-11-09</v>
      </c>
      <c r="D75" t="str">
        <f t="shared" si="7"/>
        <v>Recs:</v>
      </c>
      <c r="E75" t="str">
        <f t="shared" si="8"/>
        <v>HEXA‑B.ST – Hexagon AB</v>
      </c>
      <c r="F75" t="str">
        <f t="shared" si="9"/>
        <v>AZN – AstraZeneca plc</v>
      </c>
      <c r="G75" t="str">
        <f t="shared" si="10"/>
        <v>EQTAB.ST – EQT AB</v>
      </c>
      <c r="H75" t="str">
        <f t="shared" si="11"/>
        <v>SAABb.ST – Saab AB B</v>
      </c>
    </row>
    <row r="76" spans="1:8" x14ac:dyDescent="0.35">
      <c r="A76" s="2" t="s">
        <v>101</v>
      </c>
      <c r="B76" s="1" t="b">
        <f>ISNUMBER(LEFT(A76,4)+1-1)</f>
        <v>1</v>
      </c>
      <c r="C76" s="1" t="str">
        <f t="shared" si="12"/>
        <v>2025-11-10</v>
      </c>
      <c r="D76" t="str">
        <f t="shared" si="7"/>
        <v>HEXA‑B.ST – Hexagon AB</v>
      </c>
      <c r="E76" t="str">
        <f t="shared" si="8"/>
        <v>AZN – AstraZeneca plc</v>
      </c>
      <c r="F76" t="str">
        <f t="shared" si="9"/>
        <v>EQTAB.ST – EQT AB</v>
      </c>
      <c r="G76" t="str">
        <f t="shared" si="10"/>
        <v>SAABb.ST – Saab AB B</v>
      </c>
      <c r="H76" t="str">
        <f t="shared" si="11"/>
        <v>BOL.ST – Boliden AB B</v>
      </c>
    </row>
    <row r="77" spans="1:8" x14ac:dyDescent="0.35">
      <c r="A77" t="s">
        <v>1</v>
      </c>
      <c r="B77" s="1" t="b">
        <f>ISNUMBER(LEFT(A77,4)+1-1)</f>
        <v>0</v>
      </c>
      <c r="C77" s="1" t="str">
        <f t="shared" si="12"/>
        <v>2025-11-10</v>
      </c>
      <c r="D77" t="str">
        <f t="shared" si="7"/>
        <v>AZN – AstraZeneca plc</v>
      </c>
      <c r="E77" t="str">
        <f t="shared" si="8"/>
        <v>EQTAB.ST – EQT AB</v>
      </c>
      <c r="F77" t="str">
        <f t="shared" si="9"/>
        <v>SAABb.ST – Saab AB B</v>
      </c>
      <c r="G77" t="str">
        <f t="shared" si="10"/>
        <v>BOL.ST – Boliden AB B</v>
      </c>
      <c r="H77" t="str">
        <f t="shared" si="11"/>
        <v>Perf (prev recs):</v>
      </c>
    </row>
    <row r="78" spans="1:8" x14ac:dyDescent="0.35">
      <c r="A78" t="s">
        <v>102</v>
      </c>
      <c r="B78" s="1" t="b">
        <f>ISNUMBER(LEFT(A78,4)+1-1)</f>
        <v>0</v>
      </c>
      <c r="C78" s="1" t="str">
        <f t="shared" si="12"/>
        <v>2025-11-10</v>
      </c>
      <c r="D78" t="str">
        <f t="shared" si="7"/>
        <v>EQTAB.ST – EQT AB</v>
      </c>
      <c r="E78" t="str">
        <f t="shared" si="8"/>
        <v>SAABb.ST – Saab AB B</v>
      </c>
      <c r="F78" t="str">
        <f t="shared" si="9"/>
        <v>BOL.ST – Boliden AB B</v>
      </c>
      <c r="G78" t="str">
        <f t="shared" si="10"/>
        <v>Perf (prev recs):</v>
      </c>
      <c r="H78" t="str">
        <f t="shared" si="11"/>
        <v>SWEC‑B.ST N/A</v>
      </c>
    </row>
    <row r="79" spans="1:8" x14ac:dyDescent="0.35">
      <c r="A79" t="s">
        <v>103</v>
      </c>
      <c r="B79" s="1" t="b">
        <f>ISNUMBER(LEFT(A79,4)+1-1)</f>
        <v>0</v>
      </c>
      <c r="C79" s="1" t="str">
        <f t="shared" si="12"/>
        <v>2025-11-10</v>
      </c>
      <c r="D79" t="str">
        <f t="shared" si="7"/>
        <v>SAABb.ST – Saab AB B</v>
      </c>
      <c r="E79" t="str">
        <f t="shared" si="8"/>
        <v>BOL.ST – Boliden AB B</v>
      </c>
      <c r="F79" t="str">
        <f t="shared" si="9"/>
        <v>Perf (prev recs):</v>
      </c>
      <c r="G79" t="str">
        <f t="shared" si="10"/>
        <v>SWEC‑B.ST N/A</v>
      </c>
      <c r="H79" t="str">
        <f t="shared" si="11"/>
        <v>ATCO‑A.ST N/A</v>
      </c>
    </row>
    <row r="80" spans="1:8" x14ac:dyDescent="0.35">
      <c r="A80" t="s">
        <v>104</v>
      </c>
      <c r="B80" s="1" t="b">
        <f>ISNUMBER(LEFT(A80,4)+1-1)</f>
        <v>0</v>
      </c>
      <c r="C80" s="1" t="str">
        <f t="shared" si="12"/>
        <v>2025-11-10</v>
      </c>
      <c r="D80" t="str">
        <f t="shared" si="7"/>
        <v>BOL.ST – Boliden AB B</v>
      </c>
      <c r="E80" t="str">
        <f t="shared" si="8"/>
        <v>Perf (prev recs):</v>
      </c>
      <c r="F80" t="str">
        <f t="shared" si="9"/>
        <v>SWEC‑B.ST N/A</v>
      </c>
      <c r="G80" t="str">
        <f t="shared" si="10"/>
        <v>ATCO‑A.ST N/A</v>
      </c>
      <c r="H80" t="str">
        <f t="shared" si="11"/>
        <v>HEXA‑B.ST N/A</v>
      </c>
    </row>
    <row r="81" spans="1:8" x14ac:dyDescent="0.35">
      <c r="A81" t="s">
        <v>105</v>
      </c>
      <c r="B81" s="1" t="b">
        <f>ISNUMBER(LEFT(A81,4)+1-1)</f>
        <v>0</v>
      </c>
      <c r="C81" s="1" t="str">
        <f t="shared" si="12"/>
        <v>2025-11-10</v>
      </c>
      <c r="D81" t="str">
        <f t="shared" si="7"/>
        <v>Perf (prev recs):</v>
      </c>
      <c r="E81" t="str">
        <f t="shared" si="8"/>
        <v>SWEC‑B.ST N/A</v>
      </c>
      <c r="F81" t="str">
        <f t="shared" si="9"/>
        <v>ATCO‑A.ST N/A</v>
      </c>
      <c r="G81" t="str">
        <f t="shared" si="10"/>
        <v>HEXA‑B.ST N/A</v>
      </c>
      <c r="H81" t="str">
        <f t="shared" si="11"/>
        <v>INVE‑B.ST N/A</v>
      </c>
    </row>
    <row r="82" spans="1:8" x14ac:dyDescent="0.35">
      <c r="A82" t="s">
        <v>106</v>
      </c>
      <c r="B82" s="1" t="b">
        <f>ISNUMBER(LEFT(A82,4)+1-1)</f>
        <v>0</v>
      </c>
      <c r="C82" s="1" t="str">
        <f t="shared" si="12"/>
        <v>2025-11-10</v>
      </c>
      <c r="D82" t="str">
        <f t="shared" si="7"/>
        <v>SWEC‑B.ST N/A</v>
      </c>
      <c r="E82" t="str">
        <f t="shared" si="8"/>
        <v>ATCO‑A.ST N/A</v>
      </c>
      <c r="F82" t="str">
        <f t="shared" si="9"/>
        <v>HEXA‑B.ST N/A</v>
      </c>
      <c r="G82" t="str">
        <f t="shared" si="10"/>
        <v>INVE‑B.ST N/A</v>
      </c>
      <c r="H82" t="str">
        <f t="shared" si="11"/>
        <v>SAND.ST N/A</v>
      </c>
    </row>
    <row r="83" spans="1:8" x14ac:dyDescent="0.35">
      <c r="A83" t="s">
        <v>7</v>
      </c>
      <c r="B83" s="1" t="b">
        <f>ISNUMBER(LEFT(A83,4)+1-1)</f>
        <v>0</v>
      </c>
      <c r="C83" s="1" t="str">
        <f t="shared" si="12"/>
        <v>2025-11-10</v>
      </c>
      <c r="D83" t="str">
        <f t="shared" si="7"/>
        <v>ATCO‑A.ST N/A</v>
      </c>
      <c r="E83" t="str">
        <f t="shared" si="8"/>
        <v>HEXA‑B.ST N/A</v>
      </c>
      <c r="F83" t="str">
        <f t="shared" si="9"/>
        <v>INVE‑B.ST N/A</v>
      </c>
      <c r="G83" t="str">
        <f t="shared" si="10"/>
        <v>SAND.ST N/A</v>
      </c>
      <c r="H83" t="str">
        <f t="shared" si="11"/>
        <v>Avg N/A</v>
      </c>
    </row>
    <row r="84" spans="1:8" x14ac:dyDescent="0.35">
      <c r="A84" t="s">
        <v>107</v>
      </c>
      <c r="B84" s="1" t="b">
        <f>ISNUMBER(LEFT(A84,4)+1-1)</f>
        <v>0</v>
      </c>
      <c r="C84" s="1" t="str">
        <f t="shared" si="12"/>
        <v>2025-11-10</v>
      </c>
      <c r="D84" t="str">
        <f t="shared" si="7"/>
        <v>HEXA‑B.ST N/A</v>
      </c>
      <c r="E84" t="str">
        <f t="shared" si="8"/>
        <v>INVE‑B.ST N/A</v>
      </c>
      <c r="F84" t="str">
        <f t="shared" si="9"/>
        <v>SAND.ST N/A</v>
      </c>
      <c r="G84" t="str">
        <f t="shared" si="10"/>
        <v>Avg N/A</v>
      </c>
      <c r="H84" t="str">
        <f t="shared" si="11"/>
        <v>S&amp;P500 N/A</v>
      </c>
    </row>
    <row r="85" spans="1:8" x14ac:dyDescent="0.35">
      <c r="A85" t="s">
        <v>108</v>
      </c>
      <c r="B85" s="1" t="b">
        <f>ISNUMBER(LEFT(A85,4)+1-1)</f>
        <v>0</v>
      </c>
      <c r="C85" s="1" t="str">
        <f t="shared" si="12"/>
        <v>2025-11-10</v>
      </c>
      <c r="D85" t="str">
        <f t="shared" si="7"/>
        <v>INVE‑B.ST N/A</v>
      </c>
      <c r="E85" t="str">
        <f t="shared" si="8"/>
        <v>SAND.ST N/A</v>
      </c>
      <c r="F85" t="str">
        <f t="shared" si="9"/>
        <v>Avg N/A</v>
      </c>
      <c r="G85" t="str">
        <f t="shared" si="10"/>
        <v>S&amp;P500 N/A</v>
      </c>
      <c r="H85" t="str">
        <f t="shared" si="11"/>
        <v>2025-10-23 - Thursday</v>
      </c>
    </row>
    <row r="86" spans="1:8" x14ac:dyDescent="0.35">
      <c r="A86" t="s">
        <v>109</v>
      </c>
      <c r="B86" s="1" t="b">
        <f>ISNUMBER(LEFT(A86,4)+1-1)</f>
        <v>0</v>
      </c>
      <c r="C86" s="1" t="str">
        <f t="shared" si="12"/>
        <v>2025-11-10</v>
      </c>
      <c r="D86" t="str">
        <f t="shared" si="7"/>
        <v>SAND.ST N/A</v>
      </c>
      <c r="E86" t="str">
        <f t="shared" si="8"/>
        <v>Avg N/A</v>
      </c>
      <c r="F86" t="str">
        <f t="shared" si="9"/>
        <v>S&amp;P500 N/A</v>
      </c>
      <c r="G86" t="str">
        <f t="shared" si="10"/>
        <v>2025-10-23 - Thursday</v>
      </c>
      <c r="H86" t="str">
        <f t="shared" si="11"/>
        <v>Recs:</v>
      </c>
    </row>
    <row r="87" spans="1:8" x14ac:dyDescent="0.35">
      <c r="A87" t="s">
        <v>110</v>
      </c>
      <c r="B87" s="1" t="b">
        <f>ISNUMBER(LEFT(A87,4)+1-1)</f>
        <v>0</v>
      </c>
      <c r="C87" s="1" t="str">
        <f t="shared" si="12"/>
        <v>2025-11-10</v>
      </c>
      <c r="D87" t="str">
        <f t="shared" si="7"/>
        <v>Avg N/A</v>
      </c>
      <c r="E87" t="str">
        <f t="shared" si="8"/>
        <v>S&amp;P500 N/A</v>
      </c>
      <c r="F87" t="str">
        <f t="shared" si="9"/>
        <v>2025-10-23 - Thursday</v>
      </c>
      <c r="G87" t="str">
        <f t="shared" si="10"/>
        <v>Recs:</v>
      </c>
      <c r="H87" t="str">
        <f t="shared" si="11"/>
        <v>TSLA – Tesla Inc</v>
      </c>
    </row>
    <row r="88" spans="1:8" x14ac:dyDescent="0.35">
      <c r="A88" t="s">
        <v>111</v>
      </c>
      <c r="B88" s="1" t="b">
        <f>ISNUMBER(LEFT(A88,4)+1-1)</f>
        <v>0</v>
      </c>
      <c r="C88" s="1" t="str">
        <f t="shared" si="12"/>
        <v>2025-11-10</v>
      </c>
      <c r="D88" t="str">
        <f t="shared" si="7"/>
        <v>S&amp;P500 N/A</v>
      </c>
      <c r="E88" t="str">
        <f t="shared" si="8"/>
        <v>2025-10-23 - Thursday</v>
      </c>
      <c r="F88" t="str">
        <f t="shared" si="9"/>
        <v>Recs:</v>
      </c>
      <c r="G88" t="str">
        <f t="shared" si="10"/>
        <v>TSLA – Tesla Inc</v>
      </c>
      <c r="H88" t="str">
        <f t="shared" si="11"/>
        <v>IBM – International Business Machines Corp</v>
      </c>
    </row>
    <row r="89" spans="1:8" x14ac:dyDescent="0.35">
      <c r="A89" t="s">
        <v>9</v>
      </c>
      <c r="B89" s="1" t="b">
        <f>ISNUMBER(LEFT(A89,4)+1-1)</f>
        <v>0</v>
      </c>
      <c r="C89" s="1" t="str">
        <f t="shared" si="12"/>
        <v>2025-11-10</v>
      </c>
      <c r="D89" t="str">
        <f t="shared" si="7"/>
        <v>2025-10-23 - Thursday</v>
      </c>
      <c r="E89" t="str">
        <f t="shared" si="8"/>
        <v>Recs:</v>
      </c>
      <c r="F89" t="str">
        <f t="shared" si="9"/>
        <v>TSLA – Tesla Inc</v>
      </c>
      <c r="G89" t="str">
        <f t="shared" si="10"/>
        <v>IBM – International Business Machines Corp</v>
      </c>
      <c r="H89" t="str">
        <f t="shared" si="11"/>
        <v>NKE – Nike Inc</v>
      </c>
    </row>
    <row r="90" spans="1:8" x14ac:dyDescent="0.35">
      <c r="A90" t="s">
        <v>10</v>
      </c>
      <c r="B90" s="1" t="b">
        <f>ISNUMBER(LEFT(A90,4)+1-1)</f>
        <v>0</v>
      </c>
      <c r="C90" s="1" t="str">
        <f t="shared" si="12"/>
        <v>2025-11-10</v>
      </c>
      <c r="D90" t="str">
        <f t="shared" si="7"/>
        <v>Recs:</v>
      </c>
      <c r="E90" t="str">
        <f t="shared" si="8"/>
        <v>TSLA – Tesla Inc</v>
      </c>
      <c r="F90" t="str">
        <f t="shared" si="9"/>
        <v>IBM – International Business Machines Corp</v>
      </c>
      <c r="G90" t="str">
        <f t="shared" si="10"/>
        <v>NKE – Nike Inc</v>
      </c>
      <c r="H90" t="str">
        <f t="shared" si="11"/>
        <v>SAND – Sandstorm Gold Ltd</v>
      </c>
    </row>
    <row r="91" spans="1:8" x14ac:dyDescent="0.35">
      <c r="A91" s="2" t="s">
        <v>172</v>
      </c>
      <c r="B91" s="1" t="b">
        <f>ISNUMBER(LEFT(A91,4)+1-1)</f>
        <v>1</v>
      </c>
      <c r="C91" s="1" t="str">
        <f t="shared" si="12"/>
        <v>2025-10-23</v>
      </c>
      <c r="D91" t="str">
        <f t="shared" si="7"/>
        <v>TSLA – Tesla Inc</v>
      </c>
      <c r="E91" t="str">
        <f t="shared" si="8"/>
        <v>IBM – International Business Machines Corp</v>
      </c>
      <c r="F91" t="str">
        <f t="shared" si="9"/>
        <v>NKE – Nike Inc</v>
      </c>
      <c r="G91" t="str">
        <f t="shared" si="10"/>
        <v>SAND – Sandstorm Gold Ltd</v>
      </c>
      <c r="H91" t="str">
        <f t="shared" si="11"/>
        <v>SEB_A – SEB AB</v>
      </c>
    </row>
    <row r="92" spans="1:8" x14ac:dyDescent="0.35">
      <c r="A92" t="s">
        <v>1</v>
      </c>
      <c r="B92" s="1" t="b">
        <f>ISNUMBER(LEFT(A92,4)+1-1)</f>
        <v>0</v>
      </c>
      <c r="C92" s="1" t="str">
        <f t="shared" si="12"/>
        <v>2025-10-23</v>
      </c>
      <c r="D92" t="str">
        <f t="shared" si="7"/>
        <v>IBM – International Business Machines Corp</v>
      </c>
      <c r="E92" t="str">
        <f t="shared" si="8"/>
        <v>NKE – Nike Inc</v>
      </c>
      <c r="F92" t="str">
        <f t="shared" si="9"/>
        <v>SAND – Sandstorm Gold Ltd</v>
      </c>
      <c r="G92" t="str">
        <f t="shared" si="10"/>
        <v>SEB_A – SEB AB</v>
      </c>
      <c r="H92" t="str">
        <f t="shared" si="11"/>
        <v>Perf (prev recs):</v>
      </c>
    </row>
    <row r="93" spans="1:8" x14ac:dyDescent="0.35">
      <c r="A93" t="s">
        <v>173</v>
      </c>
      <c r="B93" s="1" t="b">
        <f>ISNUMBER(LEFT(A93,4)+1-1)</f>
        <v>0</v>
      </c>
      <c r="C93" s="1" t="str">
        <f t="shared" si="12"/>
        <v>2025-10-23</v>
      </c>
      <c r="D93" t="str">
        <f t="shared" si="7"/>
        <v>NKE – Nike Inc</v>
      </c>
      <c r="E93" t="str">
        <f t="shared" si="8"/>
        <v>SAND – Sandstorm Gold Ltd</v>
      </c>
      <c r="F93" t="str">
        <f t="shared" si="9"/>
        <v>SEB_A – SEB AB</v>
      </c>
      <c r="G93" t="str">
        <f t="shared" si="10"/>
        <v>Perf (prev recs):</v>
      </c>
      <c r="H93" t="str">
        <f t="shared" si="11"/>
        <v>SKF‑B +0.42%</v>
      </c>
    </row>
    <row r="94" spans="1:8" x14ac:dyDescent="0.35">
      <c r="A94" t="s">
        <v>174</v>
      </c>
      <c r="B94" s="1" t="b">
        <f>ISNUMBER(LEFT(A94,4)+1-1)</f>
        <v>0</v>
      </c>
      <c r="C94" s="1" t="str">
        <f t="shared" si="12"/>
        <v>2025-10-23</v>
      </c>
      <c r="D94" t="str">
        <f t="shared" si="7"/>
        <v>SAND – Sandstorm Gold Ltd</v>
      </c>
      <c r="E94" t="str">
        <f t="shared" si="8"/>
        <v>SEB_A – SEB AB</v>
      </c>
      <c r="F94" t="str">
        <f t="shared" si="9"/>
        <v>Perf (prev recs):</v>
      </c>
      <c r="G94" t="str">
        <f t="shared" si="10"/>
        <v>SKF‑B +0.42%</v>
      </c>
      <c r="H94" t="str">
        <f t="shared" si="11"/>
        <v>EVO.ST -0.55%</v>
      </c>
    </row>
    <row r="95" spans="1:8" x14ac:dyDescent="0.35">
      <c r="A95" t="s">
        <v>175</v>
      </c>
      <c r="B95" s="1" t="b">
        <f>ISNUMBER(LEFT(A95,4)+1-1)</f>
        <v>0</v>
      </c>
      <c r="C95" s="1" t="str">
        <f t="shared" si="12"/>
        <v>2025-10-23</v>
      </c>
      <c r="D95" t="str">
        <f t="shared" si="7"/>
        <v>SEB_A – SEB AB</v>
      </c>
      <c r="E95" t="str">
        <f t="shared" si="8"/>
        <v>Perf (prev recs):</v>
      </c>
      <c r="F95" t="str">
        <f t="shared" si="9"/>
        <v>SKF‑B +0.42%</v>
      </c>
      <c r="G95" t="str">
        <f t="shared" si="10"/>
        <v>EVO.ST -0.55%</v>
      </c>
      <c r="H95" t="str">
        <f t="shared" si="11"/>
        <v>MSFT +1.18%</v>
      </c>
    </row>
    <row r="96" spans="1:8" x14ac:dyDescent="0.35">
      <c r="A96" t="s">
        <v>176</v>
      </c>
      <c r="B96" s="1" t="b">
        <f>ISNUMBER(LEFT(A96,4)+1-1)</f>
        <v>0</v>
      </c>
      <c r="C96" s="1" t="str">
        <f t="shared" si="12"/>
        <v>2025-10-23</v>
      </c>
      <c r="D96" t="str">
        <f t="shared" si="7"/>
        <v>Perf (prev recs):</v>
      </c>
      <c r="E96" t="str">
        <f t="shared" si="8"/>
        <v>SKF‑B +0.42%</v>
      </c>
      <c r="F96" t="str">
        <f t="shared" si="9"/>
        <v>EVO.ST -0.55%</v>
      </c>
      <c r="G96" t="str">
        <f t="shared" si="10"/>
        <v>MSFT +1.18%</v>
      </c>
      <c r="H96" t="str">
        <f t="shared" si="11"/>
        <v>NVO -0.33%</v>
      </c>
    </row>
    <row r="97" spans="1:8" x14ac:dyDescent="0.35">
      <c r="A97" t="s">
        <v>177</v>
      </c>
      <c r="B97" s="1" t="b">
        <f>ISNUMBER(LEFT(A97,4)+1-1)</f>
        <v>0</v>
      </c>
      <c r="C97" s="1" t="str">
        <f t="shared" si="12"/>
        <v>2025-10-23</v>
      </c>
      <c r="D97" t="str">
        <f t="shared" si="7"/>
        <v>SKF‑B +0.42%</v>
      </c>
      <c r="E97" t="str">
        <f t="shared" si="8"/>
        <v>EVO.ST -0.55%</v>
      </c>
      <c r="F97" t="str">
        <f t="shared" si="9"/>
        <v>MSFT +1.18%</v>
      </c>
      <c r="G97" t="str">
        <f t="shared" si="10"/>
        <v>NVO -0.33%</v>
      </c>
      <c r="H97" t="str">
        <f t="shared" si="11"/>
        <v>BP +0.27%</v>
      </c>
    </row>
    <row r="98" spans="1:8" x14ac:dyDescent="0.35">
      <c r="A98" t="s">
        <v>7</v>
      </c>
      <c r="B98" s="1" t="b">
        <f>ISNUMBER(LEFT(A98,4)+1-1)</f>
        <v>0</v>
      </c>
      <c r="C98" s="1" t="str">
        <f t="shared" si="12"/>
        <v>2025-10-23</v>
      </c>
      <c r="D98" t="str">
        <f t="shared" si="7"/>
        <v>EVO.ST -0.55%</v>
      </c>
      <c r="E98" t="str">
        <f t="shared" si="8"/>
        <v>MSFT +1.18%</v>
      </c>
      <c r="F98" t="str">
        <f t="shared" si="9"/>
        <v>NVO -0.33%</v>
      </c>
      <c r="G98" t="str">
        <f t="shared" si="10"/>
        <v>BP +0.27%</v>
      </c>
      <c r="H98" t="str">
        <f t="shared" si="11"/>
        <v>Avg +0.20%</v>
      </c>
    </row>
    <row r="99" spans="1:8" x14ac:dyDescent="0.35">
      <c r="A99" t="s">
        <v>178</v>
      </c>
      <c r="B99" s="1" t="b">
        <f>ISNUMBER(LEFT(A99,4)+1-1)</f>
        <v>0</v>
      </c>
      <c r="C99" s="1" t="str">
        <f t="shared" si="12"/>
        <v>2025-10-23</v>
      </c>
      <c r="D99" t="str">
        <f t="shared" si="7"/>
        <v>MSFT +1.18%</v>
      </c>
      <c r="E99" t="str">
        <f t="shared" si="8"/>
        <v>NVO -0.33%</v>
      </c>
      <c r="F99" t="str">
        <f t="shared" si="9"/>
        <v>BP +0.27%</v>
      </c>
      <c r="G99" t="str">
        <f t="shared" si="10"/>
        <v>Avg +0.20%</v>
      </c>
      <c r="H99" t="str">
        <f t="shared" si="11"/>
        <v>S&amp;P500 +?</v>
      </c>
    </row>
    <row r="100" spans="1:8" x14ac:dyDescent="0.35">
      <c r="A100" t="s">
        <v>179</v>
      </c>
      <c r="B100" s="1" t="b">
        <f>ISNUMBER(LEFT(A100,4)+1-1)</f>
        <v>0</v>
      </c>
      <c r="C100" s="1" t="str">
        <f t="shared" si="12"/>
        <v>2025-10-23</v>
      </c>
      <c r="D100" t="str">
        <f t="shared" si="7"/>
        <v>NVO -0.33%</v>
      </c>
      <c r="E100" t="str">
        <f t="shared" si="8"/>
        <v>BP +0.27%</v>
      </c>
      <c r="F100" t="str">
        <f t="shared" si="9"/>
        <v>Avg +0.20%</v>
      </c>
      <c r="G100" t="str">
        <f t="shared" si="10"/>
        <v>S&amp;P500 +?</v>
      </c>
      <c r="H100">
        <f t="shared" si="11"/>
        <v>0</v>
      </c>
    </row>
    <row r="101" spans="1:8" x14ac:dyDescent="0.35">
      <c r="A101" t="s">
        <v>180</v>
      </c>
      <c r="B101" s="1" t="b">
        <f>ISNUMBER(LEFT(A101,4)+1-1)</f>
        <v>0</v>
      </c>
      <c r="C101" s="1" t="str">
        <f t="shared" si="12"/>
        <v>2025-10-23</v>
      </c>
      <c r="D101" t="str">
        <f t="shared" si="7"/>
        <v>BP +0.27%</v>
      </c>
      <c r="E101" t="str">
        <f t="shared" si="8"/>
        <v>Avg +0.20%</v>
      </c>
      <c r="F101" t="str">
        <f t="shared" si="9"/>
        <v>S&amp;P500 +?</v>
      </c>
      <c r="G101">
        <f t="shared" si="10"/>
        <v>0</v>
      </c>
      <c r="H101" t="str">
        <f t="shared" si="11"/>
        <v>2025-10-24 - Friday</v>
      </c>
    </row>
    <row r="102" spans="1:8" x14ac:dyDescent="0.35">
      <c r="A102" t="s">
        <v>181</v>
      </c>
      <c r="B102" s="1" t="b">
        <f>ISNUMBER(LEFT(A102,4)+1-1)</f>
        <v>0</v>
      </c>
      <c r="C102" s="1" t="str">
        <f t="shared" si="12"/>
        <v>2025-10-23</v>
      </c>
      <c r="D102" t="str">
        <f t="shared" si="7"/>
        <v>Avg +0.20%</v>
      </c>
      <c r="E102" t="str">
        <f t="shared" si="8"/>
        <v>S&amp;P500 +?</v>
      </c>
      <c r="F102">
        <f t="shared" si="9"/>
        <v>0</v>
      </c>
      <c r="G102" t="str">
        <f t="shared" si="10"/>
        <v>2025-10-24 - Friday</v>
      </c>
      <c r="H102" t="str">
        <f t="shared" si="11"/>
        <v>Recs:</v>
      </c>
    </row>
    <row r="103" spans="1:8" x14ac:dyDescent="0.35">
      <c r="A103" t="s">
        <v>182</v>
      </c>
      <c r="B103" s="1" t="b">
        <f>ISNUMBER(LEFT(A103,4)+1-1)</f>
        <v>0</v>
      </c>
      <c r="C103" s="1" t="str">
        <f t="shared" si="12"/>
        <v>2025-10-23</v>
      </c>
      <c r="D103" t="str">
        <f t="shared" si="7"/>
        <v>S&amp;P500 +?</v>
      </c>
      <c r="E103">
        <f t="shared" si="8"/>
        <v>0</v>
      </c>
      <c r="F103" t="str">
        <f t="shared" si="9"/>
        <v>2025-10-24 - Friday</v>
      </c>
      <c r="G103" t="str">
        <f t="shared" si="10"/>
        <v>Recs:</v>
      </c>
      <c r="H103" t="str">
        <f t="shared" si="11"/>
        <v>TELIA – Telia Company AB</v>
      </c>
    </row>
    <row r="104" spans="1:8" x14ac:dyDescent="0.35">
      <c r="A104" t="s">
        <v>183</v>
      </c>
      <c r="B104" s="1" t="b">
        <f>ISNUMBER(LEFT(A104,4)+1-1)</f>
        <v>0</v>
      </c>
      <c r="C104" s="1" t="str">
        <f t="shared" si="12"/>
        <v>2025-10-23</v>
      </c>
      <c r="D104">
        <f t="shared" si="7"/>
        <v>0</v>
      </c>
      <c r="E104" t="str">
        <f t="shared" si="8"/>
        <v>2025-10-24 - Friday</v>
      </c>
      <c r="F104" t="str">
        <f t="shared" si="9"/>
        <v>Recs:</v>
      </c>
      <c r="G104" t="str">
        <f t="shared" si="10"/>
        <v>TELIA – Telia Company AB</v>
      </c>
      <c r="H104" t="str">
        <f t="shared" si="11"/>
        <v>PCELL – PowerCell Sweden AB</v>
      </c>
    </row>
    <row r="105" spans="1:8" x14ac:dyDescent="0.35">
      <c r="A105" t="s">
        <v>184</v>
      </c>
      <c r="B105" s="1" t="b">
        <f>ISNUMBER(LEFT(A105,4)+1-1)</f>
        <v>0</v>
      </c>
      <c r="C105" s="1" t="str">
        <f t="shared" si="12"/>
        <v>2025-10-23</v>
      </c>
      <c r="D105" t="str">
        <f t="shared" si="7"/>
        <v>2025-10-24 - Friday</v>
      </c>
      <c r="E105" t="str">
        <f t="shared" si="8"/>
        <v>Recs:</v>
      </c>
      <c r="F105" t="str">
        <f t="shared" si="9"/>
        <v>TELIA – Telia Company AB</v>
      </c>
      <c r="G105" t="str">
        <f t="shared" si="10"/>
        <v>PCELL – PowerCell Sweden AB</v>
      </c>
      <c r="H105" t="str">
        <f t="shared" si="11"/>
        <v>SEB_A – SEB AB</v>
      </c>
    </row>
    <row r="106" spans="1:8" x14ac:dyDescent="0.35">
      <c r="B106" s="1" t="b">
        <f>ISNUMBER(LEFT(A106,4)+1-1)</f>
        <v>0</v>
      </c>
      <c r="C106" s="1" t="str">
        <f t="shared" si="12"/>
        <v>2025-10-23</v>
      </c>
      <c r="D106" t="str">
        <f t="shared" si="7"/>
        <v>Recs:</v>
      </c>
      <c r="E106" t="str">
        <f t="shared" si="8"/>
        <v>TELIA – Telia Company AB</v>
      </c>
      <c r="F106" t="str">
        <f t="shared" si="9"/>
        <v>PCELL – PowerCell Sweden AB</v>
      </c>
      <c r="G106" t="str">
        <f t="shared" si="10"/>
        <v>SEB_A – SEB AB</v>
      </c>
      <c r="H106" t="str">
        <f t="shared" si="11"/>
        <v>ERIC – Ericsson AB</v>
      </c>
    </row>
    <row r="107" spans="1:8" x14ac:dyDescent="0.35">
      <c r="A107" s="2" t="s">
        <v>185</v>
      </c>
      <c r="B107" s="1" t="b">
        <f>ISNUMBER(LEFT(A107,4)+1-1)</f>
        <v>1</v>
      </c>
      <c r="C107" s="1" t="str">
        <f t="shared" si="12"/>
        <v>2025-10-24</v>
      </c>
      <c r="D107" t="str">
        <f t="shared" si="7"/>
        <v>TELIA – Telia Company AB</v>
      </c>
      <c r="E107" t="str">
        <f t="shared" si="8"/>
        <v>PCELL – PowerCell Sweden AB</v>
      </c>
      <c r="F107" t="str">
        <f t="shared" si="9"/>
        <v>SEB_A – SEB AB</v>
      </c>
      <c r="G107" t="str">
        <f t="shared" si="10"/>
        <v>ERIC – Ericsson AB</v>
      </c>
      <c r="H107" t="str">
        <f t="shared" si="11"/>
        <v>VOLV B – Volvo AB</v>
      </c>
    </row>
    <row r="108" spans="1:8" x14ac:dyDescent="0.35">
      <c r="A108" t="s">
        <v>1</v>
      </c>
      <c r="B108" s="1" t="b">
        <f>ISNUMBER(LEFT(A108,4)+1-1)</f>
        <v>0</v>
      </c>
      <c r="C108" s="1" t="str">
        <f t="shared" si="12"/>
        <v>2025-10-24</v>
      </c>
      <c r="D108" t="str">
        <f t="shared" si="7"/>
        <v>PCELL – PowerCell Sweden AB</v>
      </c>
      <c r="E108" t="str">
        <f t="shared" si="8"/>
        <v>SEB_A – SEB AB</v>
      </c>
      <c r="F108" t="str">
        <f t="shared" si="9"/>
        <v>ERIC – Ericsson AB</v>
      </c>
      <c r="G108" t="str">
        <f t="shared" si="10"/>
        <v>VOLV B – Volvo AB</v>
      </c>
      <c r="H108" t="str">
        <f t="shared" si="11"/>
        <v>Perf (prev recs):</v>
      </c>
    </row>
    <row r="109" spans="1:8" x14ac:dyDescent="0.35">
      <c r="A109" t="s">
        <v>186</v>
      </c>
      <c r="B109" s="1" t="b">
        <f>ISNUMBER(LEFT(A109,4)+1-1)</f>
        <v>0</v>
      </c>
      <c r="C109" s="1" t="str">
        <f t="shared" si="12"/>
        <v>2025-10-24</v>
      </c>
      <c r="D109" t="str">
        <f t="shared" si="7"/>
        <v>SEB_A – SEB AB</v>
      </c>
      <c r="E109" t="str">
        <f t="shared" si="8"/>
        <v>ERIC – Ericsson AB</v>
      </c>
      <c r="F109" t="str">
        <f t="shared" si="9"/>
        <v>VOLV B – Volvo AB</v>
      </c>
      <c r="G109" t="str">
        <f t="shared" si="10"/>
        <v>Perf (prev recs):</v>
      </c>
      <c r="H109" t="str">
        <f t="shared" si="11"/>
        <v>SKF‑B +0.79%</v>
      </c>
    </row>
    <row r="110" spans="1:8" x14ac:dyDescent="0.35">
      <c r="A110" t="s">
        <v>187</v>
      </c>
      <c r="B110" s="1" t="b">
        <f>ISNUMBER(LEFT(A110,4)+1-1)</f>
        <v>0</v>
      </c>
      <c r="C110" s="1" t="str">
        <f t="shared" si="12"/>
        <v>2025-10-24</v>
      </c>
      <c r="D110" t="str">
        <f t="shared" si="7"/>
        <v>ERIC – Ericsson AB</v>
      </c>
      <c r="E110" t="str">
        <f t="shared" si="8"/>
        <v>VOLV B – Volvo AB</v>
      </c>
      <c r="F110" t="str">
        <f t="shared" si="9"/>
        <v>Perf (prev recs):</v>
      </c>
      <c r="G110" t="str">
        <f t="shared" si="10"/>
        <v>SKF‑B +0.79%</v>
      </c>
      <c r="H110" t="str">
        <f t="shared" si="11"/>
        <v>NIBE B +0.75%</v>
      </c>
    </row>
    <row r="111" spans="1:8" x14ac:dyDescent="0.35">
      <c r="A111" t="s">
        <v>177</v>
      </c>
      <c r="B111" s="1" t="b">
        <f>ISNUMBER(LEFT(A111,4)+1-1)</f>
        <v>0</v>
      </c>
      <c r="C111" s="1" t="str">
        <f t="shared" si="12"/>
        <v>2025-10-24</v>
      </c>
      <c r="D111" t="str">
        <f t="shared" si="7"/>
        <v>VOLV B – Volvo AB</v>
      </c>
      <c r="E111" t="str">
        <f t="shared" si="8"/>
        <v>Perf (prev recs):</v>
      </c>
      <c r="F111" t="str">
        <f t="shared" si="9"/>
        <v>SKF‑B +0.79%</v>
      </c>
      <c r="G111" t="str">
        <f t="shared" si="10"/>
        <v>NIBE B +0.75%</v>
      </c>
      <c r="H111" t="str">
        <f t="shared" si="11"/>
        <v>Addtech AB B +3.87%</v>
      </c>
    </row>
    <row r="112" spans="1:8" x14ac:dyDescent="0.35">
      <c r="A112" t="s">
        <v>188</v>
      </c>
      <c r="B112" s="1" t="b">
        <f>ISNUMBER(LEFT(A112,4)+1-1)</f>
        <v>0</v>
      </c>
      <c r="C112" s="1" t="str">
        <f t="shared" si="12"/>
        <v>2025-10-24</v>
      </c>
      <c r="D112" t="str">
        <f t="shared" si="7"/>
        <v>Perf (prev recs):</v>
      </c>
      <c r="E112" t="str">
        <f t="shared" si="8"/>
        <v>SKF‑B +0.79%</v>
      </c>
      <c r="F112" t="str">
        <f t="shared" si="9"/>
        <v>NIBE B +0.75%</v>
      </c>
      <c r="G112" t="str">
        <f t="shared" si="10"/>
        <v>Addtech AB B +3.87%</v>
      </c>
      <c r="H112" t="str">
        <f t="shared" si="11"/>
        <v>Trelleborg AB B +0.47%</v>
      </c>
    </row>
    <row r="113" spans="1:8" x14ac:dyDescent="0.35">
      <c r="A113" t="s">
        <v>189</v>
      </c>
      <c r="B113" s="1" t="b">
        <f>ISNUMBER(LEFT(A113,4)+1-1)</f>
        <v>0</v>
      </c>
      <c r="C113" s="1" t="str">
        <f t="shared" si="12"/>
        <v>2025-10-24</v>
      </c>
      <c r="D113" t="str">
        <f t="shared" si="7"/>
        <v>SKF‑B +0.79%</v>
      </c>
      <c r="E113" t="str">
        <f t="shared" si="8"/>
        <v>NIBE B +0.75%</v>
      </c>
      <c r="F113" t="str">
        <f t="shared" si="9"/>
        <v>Addtech AB B +3.87%</v>
      </c>
      <c r="G113" t="str">
        <f t="shared" si="10"/>
        <v>Trelleborg AB B +0.47%</v>
      </c>
      <c r="H113" t="str">
        <f t="shared" si="11"/>
        <v>AAK AB +0.47%</v>
      </c>
    </row>
    <row r="114" spans="1:8" x14ac:dyDescent="0.35">
      <c r="A114" t="s">
        <v>7</v>
      </c>
      <c r="B114" s="1" t="b">
        <f>ISNUMBER(LEFT(A114,4)+1-1)</f>
        <v>0</v>
      </c>
      <c r="C114" s="1" t="str">
        <f t="shared" si="12"/>
        <v>2025-10-24</v>
      </c>
      <c r="D114" t="str">
        <f t="shared" si="7"/>
        <v>NIBE B +0.75%</v>
      </c>
      <c r="E114" t="str">
        <f t="shared" si="8"/>
        <v>Addtech AB B +3.87%</v>
      </c>
      <c r="F114" t="str">
        <f t="shared" si="9"/>
        <v>Trelleborg AB B +0.47%</v>
      </c>
      <c r="G114" t="str">
        <f t="shared" si="10"/>
        <v>AAK AB +0.47%</v>
      </c>
      <c r="H114" t="str">
        <f t="shared" si="11"/>
        <v>Avg +1.27%</v>
      </c>
    </row>
    <row r="115" spans="1:8" x14ac:dyDescent="0.35">
      <c r="A115" t="s">
        <v>190</v>
      </c>
      <c r="B115" s="1" t="b">
        <f>ISNUMBER(LEFT(A115,4)+1-1)</f>
        <v>0</v>
      </c>
      <c r="C115" s="1" t="str">
        <f t="shared" si="12"/>
        <v>2025-10-24</v>
      </c>
      <c r="D115" t="str">
        <f t="shared" si="7"/>
        <v>Addtech AB B +3.87%</v>
      </c>
      <c r="E115" t="str">
        <f t="shared" si="8"/>
        <v>Trelleborg AB B +0.47%</v>
      </c>
      <c r="F115" t="str">
        <f t="shared" si="9"/>
        <v>AAK AB +0.47%</v>
      </c>
      <c r="G115" t="str">
        <f t="shared" si="10"/>
        <v>Avg +1.27%</v>
      </c>
      <c r="H115" t="str">
        <f t="shared" si="11"/>
        <v>S&amp;P500 +0.00%</v>
      </c>
    </row>
    <row r="116" spans="1:8" x14ac:dyDescent="0.35">
      <c r="A116" t="s">
        <v>191</v>
      </c>
      <c r="B116" s="1" t="b">
        <f>ISNUMBER(LEFT(A116,4)+1-1)</f>
        <v>0</v>
      </c>
      <c r="C116" s="1" t="str">
        <f t="shared" si="12"/>
        <v>2025-10-24</v>
      </c>
      <c r="D116" t="str">
        <f t="shared" si="7"/>
        <v>Trelleborg AB B +0.47%</v>
      </c>
      <c r="E116" t="str">
        <f t="shared" si="8"/>
        <v>AAK AB +0.47%</v>
      </c>
      <c r="F116" t="str">
        <f t="shared" si="9"/>
        <v>Avg +1.27%</v>
      </c>
      <c r="G116" t="str">
        <f t="shared" si="10"/>
        <v>S&amp;P500 +0.00%</v>
      </c>
      <c r="H116">
        <f t="shared" si="11"/>
        <v>0</v>
      </c>
    </row>
    <row r="117" spans="1:8" x14ac:dyDescent="0.35">
      <c r="A117" t="s">
        <v>192</v>
      </c>
      <c r="B117" s="1" t="b">
        <f>ISNUMBER(LEFT(A117,4)+1-1)</f>
        <v>0</v>
      </c>
      <c r="C117" s="1" t="str">
        <f t="shared" si="12"/>
        <v>2025-10-24</v>
      </c>
      <c r="D117" t="str">
        <f t="shared" si="7"/>
        <v>AAK AB +0.47%</v>
      </c>
      <c r="E117" t="str">
        <f t="shared" si="8"/>
        <v>Avg +1.27%</v>
      </c>
      <c r="F117" t="str">
        <f t="shared" si="9"/>
        <v>S&amp;P500 +0.00%</v>
      </c>
      <c r="G117">
        <f t="shared" si="10"/>
        <v>0</v>
      </c>
      <c r="H117" t="str">
        <f t="shared" si="11"/>
        <v>2025-10-25 - Saturday</v>
      </c>
    </row>
    <row r="118" spans="1:8" x14ac:dyDescent="0.35">
      <c r="A118" t="s">
        <v>193</v>
      </c>
      <c r="B118" s="1" t="b">
        <f>ISNUMBER(LEFT(A118,4)+1-1)</f>
        <v>0</v>
      </c>
      <c r="C118" s="1" t="str">
        <f t="shared" si="12"/>
        <v>2025-10-24</v>
      </c>
      <c r="D118" t="str">
        <f t="shared" si="7"/>
        <v>Avg +1.27%</v>
      </c>
      <c r="E118" t="str">
        <f t="shared" si="8"/>
        <v>S&amp;P500 +0.00%</v>
      </c>
      <c r="F118">
        <f t="shared" si="9"/>
        <v>0</v>
      </c>
      <c r="G118" t="str">
        <f t="shared" si="10"/>
        <v>2025-10-25 - Saturday</v>
      </c>
      <c r="H118" t="str">
        <f t="shared" si="11"/>
        <v>Recs:</v>
      </c>
    </row>
    <row r="119" spans="1:8" x14ac:dyDescent="0.35">
      <c r="A119" t="s">
        <v>194</v>
      </c>
      <c r="B119" s="1" t="b">
        <f>ISNUMBER(LEFT(A119,4)+1-1)</f>
        <v>0</v>
      </c>
      <c r="C119" s="1" t="str">
        <f t="shared" si="12"/>
        <v>2025-10-24</v>
      </c>
      <c r="D119" t="str">
        <f t="shared" si="7"/>
        <v>S&amp;P500 +0.00%</v>
      </c>
      <c r="E119">
        <f t="shared" si="8"/>
        <v>0</v>
      </c>
      <c r="F119" t="str">
        <f t="shared" si="9"/>
        <v>2025-10-25 - Saturday</v>
      </c>
      <c r="G119" t="str">
        <f t="shared" si="10"/>
        <v>Recs:</v>
      </c>
      <c r="H119" t="str">
        <f t="shared" si="11"/>
        <v>AMD – Advanced Micro Devices Inc.</v>
      </c>
    </row>
    <row r="120" spans="1:8" x14ac:dyDescent="0.35">
      <c r="A120" t="s">
        <v>21</v>
      </c>
      <c r="B120" s="1" t="b">
        <f>ISNUMBER(LEFT(A120,4)+1-1)</f>
        <v>0</v>
      </c>
      <c r="C120" s="1" t="str">
        <f t="shared" si="12"/>
        <v>2025-10-24</v>
      </c>
      <c r="D120">
        <f t="shared" si="7"/>
        <v>0</v>
      </c>
      <c r="E120" t="str">
        <f t="shared" si="8"/>
        <v>2025-10-25 - Saturday</v>
      </c>
      <c r="F120" t="str">
        <f t="shared" si="9"/>
        <v>Recs:</v>
      </c>
      <c r="G120" t="str">
        <f t="shared" si="10"/>
        <v>AMD – Advanced Micro Devices Inc.</v>
      </c>
      <c r="H120" t="str">
        <f t="shared" si="11"/>
        <v>MSFT – Microsoft Corp.</v>
      </c>
    </row>
    <row r="121" spans="1:8" x14ac:dyDescent="0.35">
      <c r="A121" t="s">
        <v>124</v>
      </c>
      <c r="B121" s="1" t="b">
        <f>ISNUMBER(LEFT(A121,4)+1-1)</f>
        <v>0</v>
      </c>
      <c r="C121" s="1" t="str">
        <f t="shared" si="12"/>
        <v>2025-10-24</v>
      </c>
      <c r="D121" t="str">
        <f t="shared" si="7"/>
        <v>2025-10-25 - Saturday</v>
      </c>
      <c r="E121" t="str">
        <f t="shared" si="8"/>
        <v>Recs:</v>
      </c>
      <c r="F121" t="str">
        <f t="shared" si="9"/>
        <v>AMD – Advanced Micro Devices Inc.</v>
      </c>
      <c r="G121" t="str">
        <f t="shared" si="10"/>
        <v>MSFT – Microsoft Corp.</v>
      </c>
      <c r="H121" t="str">
        <f t="shared" si="11"/>
        <v>SAND – Sandstorm Gold Ltd.</v>
      </c>
    </row>
    <row r="122" spans="1:8" x14ac:dyDescent="0.35">
      <c r="B122" s="1" t="b">
        <f>ISNUMBER(LEFT(A122,4)+1-1)</f>
        <v>0</v>
      </c>
      <c r="C122" s="1" t="str">
        <f t="shared" si="12"/>
        <v>2025-10-24</v>
      </c>
      <c r="D122" t="str">
        <f t="shared" si="7"/>
        <v>Recs:</v>
      </c>
      <c r="E122" t="str">
        <f t="shared" si="8"/>
        <v>AMD – Advanced Micro Devices Inc.</v>
      </c>
      <c r="F122" t="str">
        <f t="shared" si="9"/>
        <v>MSFT – Microsoft Corp.</v>
      </c>
      <c r="G122" t="str">
        <f t="shared" si="10"/>
        <v>SAND – Sandstorm Gold Ltd.</v>
      </c>
      <c r="H122" t="str">
        <f t="shared" si="11"/>
        <v>ERIC – Ericsson AB</v>
      </c>
    </row>
    <row r="123" spans="1:8" x14ac:dyDescent="0.35">
      <c r="A123" s="2" t="s">
        <v>195</v>
      </c>
      <c r="B123" s="1" t="b">
        <f>ISNUMBER(LEFT(A123,4)+1-1)</f>
        <v>1</v>
      </c>
      <c r="C123" s="1" t="str">
        <f t="shared" si="12"/>
        <v>2025-10-25</v>
      </c>
      <c r="D123" t="str">
        <f t="shared" si="7"/>
        <v>AMD – Advanced Micro Devices Inc.</v>
      </c>
      <c r="E123" t="str">
        <f t="shared" si="8"/>
        <v>MSFT – Microsoft Corp.</v>
      </c>
      <c r="F123" t="str">
        <f t="shared" si="9"/>
        <v>SAND – Sandstorm Gold Ltd.</v>
      </c>
      <c r="G123" t="str">
        <f t="shared" si="10"/>
        <v>ERIC – Ericsson AB</v>
      </c>
      <c r="H123" t="str">
        <f t="shared" si="11"/>
        <v>TELIA – Telia Company AB</v>
      </c>
    </row>
    <row r="124" spans="1:8" x14ac:dyDescent="0.35">
      <c r="A124" t="s">
        <v>1</v>
      </c>
      <c r="B124" s="1" t="b">
        <f>ISNUMBER(LEFT(A124,4)+1-1)</f>
        <v>0</v>
      </c>
      <c r="C124" s="1" t="str">
        <f t="shared" si="12"/>
        <v>2025-10-25</v>
      </c>
      <c r="D124" t="str">
        <f t="shared" si="7"/>
        <v>MSFT – Microsoft Corp.</v>
      </c>
      <c r="E124" t="str">
        <f t="shared" si="8"/>
        <v>SAND – Sandstorm Gold Ltd.</v>
      </c>
      <c r="F124" t="str">
        <f t="shared" si="9"/>
        <v>ERIC – Ericsson AB</v>
      </c>
      <c r="G124" t="str">
        <f t="shared" si="10"/>
        <v>TELIA – Telia Company AB</v>
      </c>
      <c r="H124" t="str">
        <f t="shared" si="11"/>
        <v>Perf (prev recs):</v>
      </c>
    </row>
    <row r="125" spans="1:8" x14ac:dyDescent="0.35">
      <c r="A125" t="s">
        <v>12</v>
      </c>
      <c r="B125" s="1" t="b">
        <f>ISNUMBER(LEFT(A125,4)+1-1)</f>
        <v>0</v>
      </c>
      <c r="C125" s="1" t="str">
        <f t="shared" si="12"/>
        <v>2025-10-25</v>
      </c>
      <c r="D125" t="str">
        <f t="shared" si="7"/>
        <v>SAND – Sandstorm Gold Ltd.</v>
      </c>
      <c r="E125" t="str">
        <f t="shared" si="8"/>
        <v>ERIC – Ericsson AB</v>
      </c>
      <c r="F125" t="str">
        <f t="shared" si="9"/>
        <v>TELIA – Telia Company AB</v>
      </c>
      <c r="G125" t="str">
        <f t="shared" si="10"/>
        <v>Perf (prev recs):</v>
      </c>
      <c r="H125" t="str">
        <f t="shared" si="11"/>
        <v>SKF‑B +0.42%</v>
      </c>
    </row>
    <row r="126" spans="1:8" x14ac:dyDescent="0.35">
      <c r="A126" t="s">
        <v>196</v>
      </c>
      <c r="B126" s="1" t="b">
        <f>ISNUMBER(LEFT(A126,4)+1-1)</f>
        <v>0</v>
      </c>
      <c r="C126" s="1" t="str">
        <f t="shared" si="12"/>
        <v>2025-10-25</v>
      </c>
      <c r="D126" t="str">
        <f t="shared" si="7"/>
        <v>ERIC – Ericsson AB</v>
      </c>
      <c r="E126" t="str">
        <f t="shared" si="8"/>
        <v>TELIA – Telia Company AB</v>
      </c>
      <c r="F126" t="str">
        <f t="shared" si="9"/>
        <v>Perf (prev recs):</v>
      </c>
      <c r="G126" t="str">
        <f t="shared" si="10"/>
        <v>SKF‑B +0.42%</v>
      </c>
      <c r="H126" t="str">
        <f t="shared" si="11"/>
        <v>EVO.ST -0.55%</v>
      </c>
    </row>
    <row r="127" spans="1:8" x14ac:dyDescent="0.35">
      <c r="A127" t="s">
        <v>197</v>
      </c>
      <c r="B127" s="1" t="b">
        <f>ISNUMBER(LEFT(A127,4)+1-1)</f>
        <v>0</v>
      </c>
      <c r="C127" s="1" t="str">
        <f t="shared" si="12"/>
        <v>2025-10-25</v>
      </c>
      <c r="D127" t="str">
        <f t="shared" si="7"/>
        <v>TELIA – Telia Company AB</v>
      </c>
      <c r="E127" t="str">
        <f t="shared" si="8"/>
        <v>Perf (prev recs):</v>
      </c>
      <c r="F127" t="str">
        <f t="shared" si="9"/>
        <v>SKF‑B +0.42%</v>
      </c>
      <c r="G127" t="str">
        <f t="shared" si="10"/>
        <v>EVO.ST -0.55%</v>
      </c>
      <c r="H127" t="str">
        <f t="shared" si="11"/>
        <v>MSFT +1.18%</v>
      </c>
    </row>
    <row r="128" spans="1:8" x14ac:dyDescent="0.35">
      <c r="A128" t="s">
        <v>188</v>
      </c>
      <c r="B128" s="1" t="b">
        <f>ISNUMBER(LEFT(A128,4)+1-1)</f>
        <v>0</v>
      </c>
      <c r="C128" s="1" t="str">
        <f t="shared" si="12"/>
        <v>2025-10-25</v>
      </c>
      <c r="D128" t="str">
        <f t="shared" si="7"/>
        <v>Perf (prev recs):</v>
      </c>
      <c r="E128" t="str">
        <f t="shared" si="8"/>
        <v>SKF‑B +0.42%</v>
      </c>
      <c r="F128" t="str">
        <f t="shared" si="9"/>
        <v>EVO.ST -0.55%</v>
      </c>
      <c r="G128" t="str">
        <f t="shared" si="10"/>
        <v>MSFT +1.18%</v>
      </c>
      <c r="H128" t="str">
        <f t="shared" si="11"/>
        <v>NVO -0.33%</v>
      </c>
    </row>
    <row r="129" spans="1:8" x14ac:dyDescent="0.35">
      <c r="A129" t="s">
        <v>186</v>
      </c>
      <c r="B129" s="1" t="b">
        <f>ISNUMBER(LEFT(A129,4)+1-1)</f>
        <v>0</v>
      </c>
      <c r="C129" s="1" t="str">
        <f t="shared" si="12"/>
        <v>2025-10-25</v>
      </c>
      <c r="D129" t="str">
        <f t="shared" si="7"/>
        <v>SKF‑B +0.42%</v>
      </c>
      <c r="E129" t="str">
        <f t="shared" si="8"/>
        <v>EVO.ST -0.55%</v>
      </c>
      <c r="F129" t="str">
        <f t="shared" si="9"/>
        <v>MSFT +1.18%</v>
      </c>
      <c r="G129" t="str">
        <f t="shared" si="10"/>
        <v>NVO -0.33%</v>
      </c>
      <c r="H129" t="str">
        <f t="shared" si="11"/>
        <v>BP +0.27%</v>
      </c>
    </row>
    <row r="130" spans="1:8" x14ac:dyDescent="0.35">
      <c r="A130" t="s">
        <v>7</v>
      </c>
      <c r="B130" s="1" t="b">
        <f>ISNUMBER(LEFT(A130,4)+1-1)</f>
        <v>0</v>
      </c>
      <c r="C130" s="1" t="str">
        <f t="shared" si="12"/>
        <v>2025-10-25</v>
      </c>
      <c r="D130" t="str">
        <f t="shared" si="7"/>
        <v>EVO.ST -0.55%</v>
      </c>
      <c r="E130" t="str">
        <f t="shared" si="8"/>
        <v>MSFT +1.18%</v>
      </c>
      <c r="F130" t="str">
        <f t="shared" si="9"/>
        <v>NVO -0.33%</v>
      </c>
      <c r="G130" t="str">
        <f t="shared" si="10"/>
        <v>BP +0.27%</v>
      </c>
      <c r="H130" t="str">
        <f t="shared" si="11"/>
        <v>Avg +0.20%</v>
      </c>
    </row>
    <row r="131" spans="1:8" x14ac:dyDescent="0.35">
      <c r="A131" t="s">
        <v>178</v>
      </c>
      <c r="B131" s="1" t="b">
        <f>ISNUMBER(LEFT(A131,4)+1-1)</f>
        <v>0</v>
      </c>
      <c r="C131" s="1" t="str">
        <f t="shared" si="12"/>
        <v>2025-10-25</v>
      </c>
      <c r="D131" t="str">
        <f t="shared" ref="D131:D194" si="13">A133</f>
        <v>MSFT +1.18%</v>
      </c>
      <c r="E131" t="str">
        <f t="shared" ref="E131:E194" si="14">A134</f>
        <v>NVO -0.33%</v>
      </c>
      <c r="F131" t="str">
        <f t="shared" ref="F131:F194" si="15">A135</f>
        <v>BP +0.27%</v>
      </c>
      <c r="G131" t="str">
        <f t="shared" ref="G131:G194" si="16">A136</f>
        <v>Avg +0.20%</v>
      </c>
      <c r="H131" t="str">
        <f t="shared" ref="H131:H194" si="17">A137</f>
        <v>S&amp;P500 +0.80%</v>
      </c>
    </row>
    <row r="132" spans="1:8" x14ac:dyDescent="0.35">
      <c r="A132" t="s">
        <v>179</v>
      </c>
      <c r="B132" s="1" t="b">
        <f>ISNUMBER(LEFT(A132,4)+1-1)</f>
        <v>0</v>
      </c>
      <c r="C132" s="1" t="str">
        <f t="shared" ref="C132:C195" si="18">IF(B132,LEFT(A132,10),C131)</f>
        <v>2025-10-25</v>
      </c>
      <c r="D132" t="str">
        <f t="shared" si="13"/>
        <v>NVO -0.33%</v>
      </c>
      <c r="E132" t="str">
        <f t="shared" si="14"/>
        <v>BP +0.27%</v>
      </c>
      <c r="F132" t="str">
        <f t="shared" si="15"/>
        <v>Avg +0.20%</v>
      </c>
      <c r="G132" t="str">
        <f t="shared" si="16"/>
        <v>S&amp;P500 +0.80%</v>
      </c>
      <c r="H132">
        <f t="shared" si="17"/>
        <v>0</v>
      </c>
    </row>
    <row r="133" spans="1:8" x14ac:dyDescent="0.35">
      <c r="A133" t="s">
        <v>180</v>
      </c>
      <c r="B133" s="1" t="b">
        <f>ISNUMBER(LEFT(A133,4)+1-1)</f>
        <v>0</v>
      </c>
      <c r="C133" s="1" t="str">
        <f t="shared" si="18"/>
        <v>2025-10-25</v>
      </c>
      <c r="D133" t="str">
        <f t="shared" si="13"/>
        <v>BP +0.27%</v>
      </c>
      <c r="E133" t="str">
        <f t="shared" si="14"/>
        <v>Avg +0.20%</v>
      </c>
      <c r="F133" t="str">
        <f t="shared" si="15"/>
        <v>S&amp;P500 +0.80%</v>
      </c>
      <c r="G133">
        <f t="shared" si="16"/>
        <v>0</v>
      </c>
      <c r="H133" t="str">
        <f t="shared" si="17"/>
        <v>2025-10-26 - Sunday</v>
      </c>
    </row>
    <row r="134" spans="1:8" x14ac:dyDescent="0.35">
      <c r="A134" t="s">
        <v>181</v>
      </c>
      <c r="B134" s="1" t="b">
        <f>ISNUMBER(LEFT(A134,4)+1-1)</f>
        <v>0</v>
      </c>
      <c r="C134" s="1" t="str">
        <f t="shared" si="18"/>
        <v>2025-10-25</v>
      </c>
      <c r="D134" t="str">
        <f t="shared" si="13"/>
        <v>Avg +0.20%</v>
      </c>
      <c r="E134" t="str">
        <f t="shared" si="14"/>
        <v>S&amp;P500 +0.80%</v>
      </c>
      <c r="F134">
        <f t="shared" si="15"/>
        <v>0</v>
      </c>
      <c r="G134" t="str">
        <f t="shared" si="16"/>
        <v>2025-10-26 - Sunday</v>
      </c>
      <c r="H134" t="str">
        <f t="shared" si="17"/>
        <v>Recs:</v>
      </c>
    </row>
    <row r="135" spans="1:8" x14ac:dyDescent="0.35">
      <c r="A135" t="s">
        <v>182</v>
      </c>
      <c r="B135" s="1" t="b">
        <f>ISNUMBER(LEFT(A135,4)+1-1)</f>
        <v>0</v>
      </c>
      <c r="C135" s="1" t="str">
        <f t="shared" si="18"/>
        <v>2025-10-25</v>
      </c>
      <c r="D135" t="str">
        <f t="shared" si="13"/>
        <v>S&amp;P500 +0.80%</v>
      </c>
      <c r="E135">
        <f t="shared" si="14"/>
        <v>0</v>
      </c>
      <c r="F135" t="str">
        <f t="shared" si="15"/>
        <v>2025-10-26 - Sunday</v>
      </c>
      <c r="G135" t="str">
        <f t="shared" si="16"/>
        <v>Recs:</v>
      </c>
      <c r="H135" t="str">
        <f t="shared" si="17"/>
        <v>AAPL – Apple Inc.</v>
      </c>
    </row>
    <row r="136" spans="1:8" x14ac:dyDescent="0.35">
      <c r="A136" t="s">
        <v>183</v>
      </c>
      <c r="B136" s="1" t="b">
        <f>ISNUMBER(LEFT(A136,4)+1-1)</f>
        <v>0</v>
      </c>
      <c r="C136" s="1" t="str">
        <f t="shared" si="18"/>
        <v>2025-10-25</v>
      </c>
      <c r="D136">
        <f t="shared" si="13"/>
        <v>0</v>
      </c>
      <c r="E136" t="str">
        <f t="shared" si="14"/>
        <v>2025-10-26 - Sunday</v>
      </c>
      <c r="F136" t="str">
        <f t="shared" si="15"/>
        <v>Recs:</v>
      </c>
      <c r="G136" t="str">
        <f t="shared" si="16"/>
        <v>AAPL – Apple Inc.</v>
      </c>
      <c r="H136" t="str">
        <f t="shared" si="17"/>
        <v>MSFT – Microsoft Corp.</v>
      </c>
    </row>
    <row r="137" spans="1:8" x14ac:dyDescent="0.35">
      <c r="A137" t="s">
        <v>198</v>
      </c>
      <c r="B137" s="1" t="b">
        <f>ISNUMBER(LEFT(A137,4)+1-1)</f>
        <v>0</v>
      </c>
      <c r="C137" s="1" t="str">
        <f t="shared" si="18"/>
        <v>2025-10-25</v>
      </c>
      <c r="D137" t="str">
        <f t="shared" si="13"/>
        <v>2025-10-26 - Sunday</v>
      </c>
      <c r="E137" t="str">
        <f t="shared" si="14"/>
        <v>Recs:</v>
      </c>
      <c r="F137" t="str">
        <f t="shared" si="15"/>
        <v>AAPL – Apple Inc.</v>
      </c>
      <c r="G137" t="str">
        <f t="shared" si="16"/>
        <v>MSFT – Microsoft Corp.</v>
      </c>
      <c r="H137" t="str">
        <f t="shared" si="17"/>
        <v>ERIC – Ericsson AB</v>
      </c>
    </row>
    <row r="138" spans="1:8" x14ac:dyDescent="0.35">
      <c r="B138" s="1" t="b">
        <f>ISNUMBER(LEFT(A138,4)+1-1)</f>
        <v>0</v>
      </c>
      <c r="C138" s="1" t="str">
        <f t="shared" si="18"/>
        <v>2025-10-25</v>
      </c>
      <c r="D138" t="str">
        <f t="shared" si="13"/>
        <v>Recs:</v>
      </c>
      <c r="E138" t="str">
        <f t="shared" si="14"/>
        <v>AAPL – Apple Inc.</v>
      </c>
      <c r="F138" t="str">
        <f t="shared" si="15"/>
        <v>MSFT – Microsoft Corp.</v>
      </c>
      <c r="G138" t="str">
        <f t="shared" si="16"/>
        <v>ERIC – Ericsson AB</v>
      </c>
      <c r="H138" t="str">
        <f t="shared" si="17"/>
        <v>ADS – Adidas AG</v>
      </c>
    </row>
    <row r="139" spans="1:8" x14ac:dyDescent="0.35">
      <c r="A139" s="2" t="s">
        <v>199</v>
      </c>
      <c r="B139" s="1" t="b">
        <f>ISNUMBER(LEFT(A139,4)+1-1)</f>
        <v>1</v>
      </c>
      <c r="C139" s="1" t="str">
        <f t="shared" si="18"/>
        <v>2025-10-26</v>
      </c>
      <c r="D139" t="str">
        <f t="shared" si="13"/>
        <v>AAPL – Apple Inc.</v>
      </c>
      <c r="E139" t="str">
        <f t="shared" si="14"/>
        <v>MSFT – Microsoft Corp.</v>
      </c>
      <c r="F139" t="str">
        <f t="shared" si="15"/>
        <v>ERIC – Ericsson AB</v>
      </c>
      <c r="G139" t="str">
        <f t="shared" si="16"/>
        <v>ADS – Adidas AG</v>
      </c>
      <c r="H139" t="str">
        <f t="shared" si="17"/>
        <v>SAP – SAP SE</v>
      </c>
    </row>
    <row r="140" spans="1:8" x14ac:dyDescent="0.35">
      <c r="A140" t="s">
        <v>1</v>
      </c>
      <c r="B140" s="1" t="b">
        <f>ISNUMBER(LEFT(A140,4)+1-1)</f>
        <v>0</v>
      </c>
      <c r="C140" s="1" t="str">
        <f t="shared" si="18"/>
        <v>2025-10-26</v>
      </c>
      <c r="D140" t="str">
        <f t="shared" si="13"/>
        <v>MSFT – Microsoft Corp.</v>
      </c>
      <c r="E140" t="str">
        <f t="shared" si="14"/>
        <v>ERIC – Ericsson AB</v>
      </c>
      <c r="F140" t="str">
        <f t="shared" si="15"/>
        <v>ADS – Adidas AG</v>
      </c>
      <c r="G140" t="str">
        <f t="shared" si="16"/>
        <v>SAP – SAP SE</v>
      </c>
      <c r="H140" t="str">
        <f t="shared" si="17"/>
        <v>Perf (prev recs):</v>
      </c>
    </row>
    <row r="141" spans="1:8" x14ac:dyDescent="0.35">
      <c r="A141" t="s">
        <v>36</v>
      </c>
      <c r="B141" s="1" t="b">
        <f>ISNUMBER(LEFT(A141,4)+1-1)</f>
        <v>0</v>
      </c>
      <c r="C141" s="1" t="str">
        <f t="shared" si="18"/>
        <v>2025-10-26</v>
      </c>
      <c r="D141" t="str">
        <f t="shared" si="13"/>
        <v>ERIC – Ericsson AB</v>
      </c>
      <c r="E141" t="str">
        <f t="shared" si="14"/>
        <v>ADS – Adidas AG</v>
      </c>
      <c r="F141" t="str">
        <f t="shared" si="15"/>
        <v>SAP – SAP SE</v>
      </c>
      <c r="G141" t="str">
        <f t="shared" si="16"/>
        <v>Perf (prev recs):</v>
      </c>
      <c r="H141" t="str">
        <f t="shared" si="17"/>
        <v>N/A</v>
      </c>
    </row>
    <row r="142" spans="1:8" x14ac:dyDescent="0.35">
      <c r="A142" t="s">
        <v>196</v>
      </c>
      <c r="B142" s="1" t="b">
        <f>ISNUMBER(LEFT(A142,4)+1-1)</f>
        <v>0</v>
      </c>
      <c r="C142" s="1" t="str">
        <f t="shared" si="18"/>
        <v>2025-10-26</v>
      </c>
      <c r="D142" t="str">
        <f t="shared" si="13"/>
        <v>ADS – Adidas AG</v>
      </c>
      <c r="E142" t="str">
        <f t="shared" si="14"/>
        <v>SAP – SAP SE</v>
      </c>
      <c r="F142" t="str">
        <f t="shared" si="15"/>
        <v>Perf (prev recs):</v>
      </c>
      <c r="G142" t="str">
        <f t="shared" si="16"/>
        <v>N/A</v>
      </c>
      <c r="H142" t="str">
        <f t="shared" si="17"/>
        <v>N/A</v>
      </c>
    </row>
    <row r="143" spans="1:8" x14ac:dyDescent="0.35">
      <c r="A143" t="s">
        <v>188</v>
      </c>
      <c r="B143" s="1" t="b">
        <f>ISNUMBER(LEFT(A143,4)+1-1)</f>
        <v>0</v>
      </c>
      <c r="C143" s="1" t="str">
        <f t="shared" si="18"/>
        <v>2025-10-26</v>
      </c>
      <c r="D143" t="str">
        <f t="shared" si="13"/>
        <v>SAP – SAP SE</v>
      </c>
      <c r="E143" t="str">
        <f t="shared" si="14"/>
        <v>Perf (prev recs):</v>
      </c>
      <c r="F143" t="str">
        <f t="shared" si="15"/>
        <v>N/A</v>
      </c>
      <c r="G143" t="str">
        <f t="shared" si="16"/>
        <v>N/A</v>
      </c>
      <c r="H143" t="str">
        <f t="shared" si="17"/>
        <v>N/A</v>
      </c>
    </row>
    <row r="144" spans="1:8" x14ac:dyDescent="0.35">
      <c r="A144" t="s">
        <v>200</v>
      </c>
      <c r="B144" s="1" t="b">
        <f>ISNUMBER(LEFT(A144,4)+1-1)</f>
        <v>0</v>
      </c>
      <c r="C144" s="1" t="str">
        <f t="shared" si="18"/>
        <v>2025-10-26</v>
      </c>
      <c r="D144" t="str">
        <f t="shared" si="13"/>
        <v>Perf (prev recs):</v>
      </c>
      <c r="E144" t="str">
        <f t="shared" si="14"/>
        <v>N/A</v>
      </c>
      <c r="F144" t="str">
        <f t="shared" si="15"/>
        <v>N/A</v>
      </c>
      <c r="G144" t="str">
        <f t="shared" si="16"/>
        <v>N/A</v>
      </c>
      <c r="H144" t="str">
        <f t="shared" si="17"/>
        <v>N/A</v>
      </c>
    </row>
    <row r="145" spans="1:8" x14ac:dyDescent="0.35">
      <c r="A145" t="s">
        <v>37</v>
      </c>
      <c r="B145" s="1" t="b">
        <f>ISNUMBER(LEFT(A145,4)+1-1)</f>
        <v>0</v>
      </c>
      <c r="C145" s="1" t="str">
        <f t="shared" si="18"/>
        <v>2025-10-26</v>
      </c>
      <c r="D145" t="str">
        <f t="shared" si="13"/>
        <v>N/A</v>
      </c>
      <c r="E145" t="str">
        <f t="shared" si="14"/>
        <v>N/A</v>
      </c>
      <c r="F145" t="str">
        <f t="shared" si="15"/>
        <v>N/A</v>
      </c>
      <c r="G145" t="str">
        <f t="shared" si="16"/>
        <v>N/A</v>
      </c>
      <c r="H145" t="str">
        <f t="shared" si="17"/>
        <v>N/A</v>
      </c>
    </row>
    <row r="146" spans="1:8" x14ac:dyDescent="0.35">
      <c r="A146" t="s">
        <v>7</v>
      </c>
      <c r="B146" s="1" t="b">
        <f>ISNUMBER(LEFT(A146,4)+1-1)</f>
        <v>0</v>
      </c>
      <c r="C146" s="1" t="str">
        <f t="shared" si="18"/>
        <v>2025-10-26</v>
      </c>
      <c r="D146" t="str">
        <f t="shared" si="13"/>
        <v>N/A</v>
      </c>
      <c r="E146" t="str">
        <f t="shared" si="14"/>
        <v>N/A</v>
      </c>
      <c r="F146" t="str">
        <f t="shared" si="15"/>
        <v>N/A</v>
      </c>
      <c r="G146" t="str">
        <f t="shared" si="16"/>
        <v>N/A</v>
      </c>
      <c r="H146" t="str">
        <f t="shared" si="17"/>
        <v>Avg N/A</v>
      </c>
    </row>
    <row r="147" spans="1:8" x14ac:dyDescent="0.35">
      <c r="A147" t="s">
        <v>8</v>
      </c>
      <c r="B147" s="1" t="b">
        <f>ISNUMBER(LEFT(A147,4)+1-1)</f>
        <v>0</v>
      </c>
      <c r="C147" s="1" t="str">
        <f t="shared" si="18"/>
        <v>2025-10-26</v>
      </c>
      <c r="D147" t="str">
        <f t="shared" si="13"/>
        <v>N/A</v>
      </c>
      <c r="E147" t="str">
        <f t="shared" si="14"/>
        <v>N/A</v>
      </c>
      <c r="F147" t="str">
        <f t="shared" si="15"/>
        <v>N/A</v>
      </c>
      <c r="G147" t="str">
        <f t="shared" si="16"/>
        <v>Avg N/A</v>
      </c>
      <c r="H147" t="str">
        <f t="shared" si="17"/>
        <v>S&amp;P500 N/A</v>
      </c>
    </row>
    <row r="148" spans="1:8" x14ac:dyDescent="0.35">
      <c r="A148" t="s">
        <v>8</v>
      </c>
      <c r="B148" s="1" t="b">
        <f>ISNUMBER(LEFT(A148,4)+1-1)</f>
        <v>0</v>
      </c>
      <c r="C148" s="1" t="str">
        <f t="shared" si="18"/>
        <v>2025-10-26</v>
      </c>
      <c r="D148" t="str">
        <f t="shared" si="13"/>
        <v>N/A</v>
      </c>
      <c r="E148" t="str">
        <f t="shared" si="14"/>
        <v>N/A</v>
      </c>
      <c r="F148" t="str">
        <f t="shared" si="15"/>
        <v>Avg N/A</v>
      </c>
      <c r="G148" t="str">
        <f t="shared" si="16"/>
        <v>S&amp;P500 N/A</v>
      </c>
      <c r="H148">
        <f t="shared" si="17"/>
        <v>0</v>
      </c>
    </row>
    <row r="149" spans="1:8" x14ac:dyDescent="0.35">
      <c r="A149" t="s">
        <v>8</v>
      </c>
      <c r="B149" s="1" t="b">
        <f>ISNUMBER(LEFT(A149,4)+1-1)</f>
        <v>0</v>
      </c>
      <c r="C149" s="1" t="str">
        <f t="shared" si="18"/>
        <v>2025-10-26</v>
      </c>
      <c r="D149" t="str">
        <f t="shared" si="13"/>
        <v>N/A</v>
      </c>
      <c r="E149" t="str">
        <f t="shared" si="14"/>
        <v>Avg N/A</v>
      </c>
      <c r="F149" t="str">
        <f t="shared" si="15"/>
        <v>S&amp;P500 N/A</v>
      </c>
      <c r="G149">
        <f t="shared" si="16"/>
        <v>0</v>
      </c>
      <c r="H149" t="str">
        <f t="shared" si="17"/>
        <v>2025-10-27 - Monday</v>
      </c>
    </row>
    <row r="150" spans="1:8" x14ac:dyDescent="0.35">
      <c r="A150" t="s">
        <v>8</v>
      </c>
      <c r="B150" s="1" t="b">
        <f>ISNUMBER(LEFT(A150,4)+1-1)</f>
        <v>0</v>
      </c>
      <c r="C150" s="1" t="str">
        <f t="shared" si="18"/>
        <v>2025-10-26</v>
      </c>
      <c r="D150" t="str">
        <f t="shared" si="13"/>
        <v>Avg N/A</v>
      </c>
      <c r="E150" t="str">
        <f t="shared" si="14"/>
        <v>S&amp;P500 N/A</v>
      </c>
      <c r="F150">
        <f t="shared" si="15"/>
        <v>0</v>
      </c>
      <c r="G150" t="str">
        <f t="shared" si="16"/>
        <v>2025-10-27 - Monday</v>
      </c>
      <c r="H150" t="str">
        <f t="shared" si="17"/>
        <v>Recs:</v>
      </c>
    </row>
    <row r="151" spans="1:8" x14ac:dyDescent="0.35">
      <c r="A151" t="s">
        <v>8</v>
      </c>
      <c r="B151" s="1" t="b">
        <f>ISNUMBER(LEFT(A151,4)+1-1)</f>
        <v>0</v>
      </c>
      <c r="C151" s="1" t="str">
        <f t="shared" si="18"/>
        <v>2025-10-26</v>
      </c>
      <c r="D151" t="str">
        <f t="shared" si="13"/>
        <v>S&amp;P500 N/A</v>
      </c>
      <c r="E151">
        <f t="shared" si="14"/>
        <v>0</v>
      </c>
      <c r="F151" t="str">
        <f t="shared" si="15"/>
        <v>2025-10-27 - Monday</v>
      </c>
      <c r="G151" t="str">
        <f t="shared" si="16"/>
        <v>Recs:</v>
      </c>
      <c r="H151" t="str">
        <f t="shared" si="17"/>
        <v>AAPL – Apple Inc.</v>
      </c>
    </row>
    <row r="152" spans="1:8" x14ac:dyDescent="0.35">
      <c r="A152" t="s">
        <v>9</v>
      </c>
      <c r="B152" s="1" t="b">
        <f>ISNUMBER(LEFT(A152,4)+1-1)</f>
        <v>0</v>
      </c>
      <c r="C152" s="1" t="str">
        <f t="shared" si="18"/>
        <v>2025-10-26</v>
      </c>
      <c r="D152">
        <f t="shared" si="13"/>
        <v>0</v>
      </c>
      <c r="E152" t="str">
        <f t="shared" si="14"/>
        <v>2025-10-27 - Monday</v>
      </c>
      <c r="F152" t="str">
        <f t="shared" si="15"/>
        <v>Recs:</v>
      </c>
      <c r="G152" t="str">
        <f t="shared" si="16"/>
        <v>AAPL – Apple Inc.</v>
      </c>
      <c r="H152" t="str">
        <f t="shared" si="17"/>
        <v>MSFT – Microsoft Corp.</v>
      </c>
    </row>
    <row r="153" spans="1:8" x14ac:dyDescent="0.35">
      <c r="A153" t="s">
        <v>10</v>
      </c>
      <c r="B153" s="1" t="b">
        <f>ISNUMBER(LEFT(A153,4)+1-1)</f>
        <v>0</v>
      </c>
      <c r="C153" s="1" t="str">
        <f t="shared" si="18"/>
        <v>2025-10-26</v>
      </c>
      <c r="D153" t="str">
        <f t="shared" si="13"/>
        <v>2025-10-27 - Monday</v>
      </c>
      <c r="E153" t="str">
        <f t="shared" si="14"/>
        <v>Recs:</v>
      </c>
      <c r="F153" t="str">
        <f t="shared" si="15"/>
        <v>AAPL – Apple Inc.</v>
      </c>
      <c r="G153" t="str">
        <f t="shared" si="16"/>
        <v>MSFT – Microsoft Corp.</v>
      </c>
      <c r="H153" t="str">
        <f t="shared" si="17"/>
        <v>TELIA – Telia Company AB</v>
      </c>
    </row>
    <row r="154" spans="1:8" x14ac:dyDescent="0.35">
      <c r="B154" s="1" t="b">
        <f>ISNUMBER(LEFT(A154,4)+1-1)</f>
        <v>0</v>
      </c>
      <c r="C154" s="1" t="str">
        <f t="shared" si="18"/>
        <v>2025-10-26</v>
      </c>
      <c r="D154" t="str">
        <f t="shared" si="13"/>
        <v>Recs:</v>
      </c>
      <c r="E154" t="str">
        <f t="shared" si="14"/>
        <v>AAPL – Apple Inc.</v>
      </c>
      <c r="F154" t="str">
        <f t="shared" si="15"/>
        <v>MSFT – Microsoft Corp.</v>
      </c>
      <c r="G154" t="str">
        <f t="shared" si="16"/>
        <v>TELIA – Telia Company AB</v>
      </c>
      <c r="H154" t="str">
        <f t="shared" si="17"/>
        <v>NVIDIA – NVIDIA Corp.</v>
      </c>
    </row>
    <row r="155" spans="1:8" x14ac:dyDescent="0.35">
      <c r="A155" s="2" t="s">
        <v>201</v>
      </c>
      <c r="B155" s="1" t="b">
        <f>ISNUMBER(LEFT(A155,4)+1-1)</f>
        <v>1</v>
      </c>
      <c r="C155" s="1" t="str">
        <f t="shared" si="18"/>
        <v>2025-10-27</v>
      </c>
      <c r="D155" t="str">
        <f t="shared" si="13"/>
        <v>AAPL – Apple Inc.</v>
      </c>
      <c r="E155" t="str">
        <f t="shared" si="14"/>
        <v>MSFT – Microsoft Corp.</v>
      </c>
      <c r="F155" t="str">
        <f t="shared" si="15"/>
        <v>TELIA – Telia Company AB</v>
      </c>
      <c r="G155" t="str">
        <f t="shared" si="16"/>
        <v>NVIDIA – NVIDIA Corp.</v>
      </c>
      <c r="H155" t="str">
        <f t="shared" si="17"/>
        <v>EXXON – Exxon Mobil Corp.</v>
      </c>
    </row>
    <row r="156" spans="1:8" x14ac:dyDescent="0.35">
      <c r="A156" t="s">
        <v>1</v>
      </c>
      <c r="B156" s="1" t="b">
        <f>ISNUMBER(LEFT(A156,4)+1-1)</f>
        <v>0</v>
      </c>
      <c r="C156" s="1" t="str">
        <f t="shared" si="18"/>
        <v>2025-10-27</v>
      </c>
      <c r="D156" t="str">
        <f t="shared" si="13"/>
        <v>MSFT – Microsoft Corp.</v>
      </c>
      <c r="E156" t="str">
        <f t="shared" si="14"/>
        <v>TELIA – Telia Company AB</v>
      </c>
      <c r="F156" t="str">
        <f t="shared" si="15"/>
        <v>NVIDIA – NVIDIA Corp.</v>
      </c>
      <c r="G156" t="str">
        <f t="shared" si="16"/>
        <v>EXXON – Exxon Mobil Corp.</v>
      </c>
      <c r="H156" t="str">
        <f t="shared" si="17"/>
        <v>Perf (prev recs):</v>
      </c>
    </row>
    <row r="157" spans="1:8" x14ac:dyDescent="0.35">
      <c r="A157" t="s">
        <v>36</v>
      </c>
      <c r="B157" s="1" t="b">
        <f>ISNUMBER(LEFT(A157,4)+1-1)</f>
        <v>0</v>
      </c>
      <c r="C157" s="1" t="str">
        <f t="shared" si="18"/>
        <v>2025-10-27</v>
      </c>
      <c r="D157" t="str">
        <f t="shared" si="13"/>
        <v>TELIA – Telia Company AB</v>
      </c>
      <c r="E157" t="str">
        <f t="shared" si="14"/>
        <v>NVIDIA – NVIDIA Corp.</v>
      </c>
      <c r="F157" t="str">
        <f t="shared" si="15"/>
        <v>EXXON – Exxon Mobil Corp.</v>
      </c>
      <c r="G157" t="str">
        <f t="shared" si="16"/>
        <v>Perf (prev recs):</v>
      </c>
      <c r="H157" t="str">
        <f t="shared" si="17"/>
        <v>AAPL +1.25%</v>
      </c>
    </row>
    <row r="158" spans="1:8" x14ac:dyDescent="0.35">
      <c r="A158" t="s">
        <v>196</v>
      </c>
      <c r="B158" s="1" t="b">
        <f>ISNUMBER(LEFT(A158,4)+1-1)</f>
        <v>0</v>
      </c>
      <c r="C158" s="1" t="str">
        <f t="shared" si="18"/>
        <v>2025-10-27</v>
      </c>
      <c r="D158" t="str">
        <f t="shared" si="13"/>
        <v>NVIDIA – NVIDIA Corp.</v>
      </c>
      <c r="E158" t="str">
        <f t="shared" si="14"/>
        <v>EXXON – Exxon Mobil Corp.</v>
      </c>
      <c r="F158" t="str">
        <f t="shared" si="15"/>
        <v>Perf (prev recs):</v>
      </c>
      <c r="G158" t="str">
        <f t="shared" si="16"/>
        <v>AAPL +1.25%</v>
      </c>
      <c r="H158" t="str">
        <f t="shared" si="17"/>
        <v>MSFT +0.59%</v>
      </c>
    </row>
    <row r="159" spans="1:8" x14ac:dyDescent="0.35">
      <c r="A159" t="s">
        <v>186</v>
      </c>
      <c r="B159" s="1" t="b">
        <f>ISNUMBER(LEFT(A159,4)+1-1)</f>
        <v>0</v>
      </c>
      <c r="C159" s="1" t="str">
        <f t="shared" si="18"/>
        <v>2025-10-27</v>
      </c>
      <c r="D159" t="str">
        <f t="shared" si="13"/>
        <v>EXXON – Exxon Mobil Corp.</v>
      </c>
      <c r="E159" t="str">
        <f t="shared" si="14"/>
        <v>Perf (prev recs):</v>
      </c>
      <c r="F159" t="str">
        <f t="shared" si="15"/>
        <v>AAPL +1.25%</v>
      </c>
      <c r="G159" t="str">
        <f t="shared" si="16"/>
        <v>MSFT +0.59%</v>
      </c>
      <c r="H159" t="str">
        <f t="shared" si="17"/>
        <v>TELIA N/A</v>
      </c>
    </row>
    <row r="160" spans="1:8" x14ac:dyDescent="0.35">
      <c r="A160" t="s">
        <v>202</v>
      </c>
      <c r="B160" s="1" t="b">
        <f>ISNUMBER(LEFT(A160,4)+1-1)</f>
        <v>0</v>
      </c>
      <c r="C160" s="1" t="str">
        <f t="shared" si="18"/>
        <v>2025-10-27</v>
      </c>
      <c r="D160" t="str">
        <f t="shared" si="13"/>
        <v>Perf (prev recs):</v>
      </c>
      <c r="E160" t="str">
        <f t="shared" si="14"/>
        <v>AAPL +1.25%</v>
      </c>
      <c r="F160" t="str">
        <f t="shared" si="15"/>
        <v>MSFT +0.59%</v>
      </c>
      <c r="G160" t="str">
        <f t="shared" si="16"/>
        <v>TELIA N/A</v>
      </c>
      <c r="H160" t="str">
        <f t="shared" si="17"/>
        <v>NVIDIA N/A</v>
      </c>
    </row>
    <row r="161" spans="1:8" x14ac:dyDescent="0.35">
      <c r="A161" t="s">
        <v>203</v>
      </c>
      <c r="B161" s="1" t="b">
        <f>ISNUMBER(LEFT(A161,4)+1-1)</f>
        <v>0</v>
      </c>
      <c r="C161" s="1" t="str">
        <f t="shared" si="18"/>
        <v>2025-10-27</v>
      </c>
      <c r="D161" t="str">
        <f t="shared" si="13"/>
        <v>AAPL +1.25%</v>
      </c>
      <c r="E161" t="str">
        <f t="shared" si="14"/>
        <v>MSFT +0.59%</v>
      </c>
      <c r="F161" t="str">
        <f t="shared" si="15"/>
        <v>TELIA N/A</v>
      </c>
      <c r="G161" t="str">
        <f t="shared" si="16"/>
        <v>NVIDIA N/A</v>
      </c>
      <c r="H161" t="str">
        <f t="shared" si="17"/>
        <v>EXXON N/A</v>
      </c>
    </row>
    <row r="162" spans="1:8" x14ac:dyDescent="0.35">
      <c r="A162" t="s">
        <v>7</v>
      </c>
      <c r="B162" s="1" t="b">
        <f>ISNUMBER(LEFT(A162,4)+1-1)</f>
        <v>0</v>
      </c>
      <c r="C162" s="1" t="str">
        <f t="shared" si="18"/>
        <v>2025-10-27</v>
      </c>
      <c r="D162" t="str">
        <f t="shared" si="13"/>
        <v>MSFT +0.59%</v>
      </c>
      <c r="E162" t="str">
        <f t="shared" si="14"/>
        <v>TELIA N/A</v>
      </c>
      <c r="F162" t="str">
        <f t="shared" si="15"/>
        <v>NVIDIA N/A</v>
      </c>
      <c r="G162" t="str">
        <f t="shared" si="16"/>
        <v>EXXON N/A</v>
      </c>
      <c r="H162" t="str">
        <f t="shared" si="17"/>
        <v>Avg +0.92%</v>
      </c>
    </row>
    <row r="163" spans="1:8" x14ac:dyDescent="0.35">
      <c r="A163" t="s">
        <v>204</v>
      </c>
      <c r="B163" s="1" t="b">
        <f>ISNUMBER(LEFT(A163,4)+1-1)</f>
        <v>0</v>
      </c>
      <c r="C163" s="1" t="str">
        <f t="shared" si="18"/>
        <v>2025-10-27</v>
      </c>
      <c r="D163" t="str">
        <f t="shared" si="13"/>
        <v>TELIA N/A</v>
      </c>
      <c r="E163" t="str">
        <f t="shared" si="14"/>
        <v>NVIDIA N/A</v>
      </c>
      <c r="F163" t="str">
        <f t="shared" si="15"/>
        <v>EXXON N/A</v>
      </c>
      <c r="G163" t="str">
        <f t="shared" si="16"/>
        <v>Avg +0.92%</v>
      </c>
      <c r="H163" t="str">
        <f t="shared" si="17"/>
        <v>S&amp;P500 +0.79%</v>
      </c>
    </row>
    <row r="164" spans="1:8" x14ac:dyDescent="0.35">
      <c r="A164" t="s">
        <v>205</v>
      </c>
      <c r="B164" s="1" t="b">
        <f>ISNUMBER(LEFT(A164,4)+1-1)</f>
        <v>0</v>
      </c>
      <c r="C164" s="1" t="str">
        <f t="shared" si="18"/>
        <v>2025-10-27</v>
      </c>
      <c r="D164" t="str">
        <f t="shared" si="13"/>
        <v>NVIDIA N/A</v>
      </c>
      <c r="E164" t="str">
        <f t="shared" si="14"/>
        <v>EXXON N/A</v>
      </c>
      <c r="F164" t="str">
        <f t="shared" si="15"/>
        <v>Avg +0.92%</v>
      </c>
      <c r="G164" t="str">
        <f t="shared" si="16"/>
        <v>S&amp;P500 +0.79%</v>
      </c>
      <c r="H164">
        <f t="shared" si="17"/>
        <v>0</v>
      </c>
    </row>
    <row r="165" spans="1:8" x14ac:dyDescent="0.35">
      <c r="A165" t="s">
        <v>206</v>
      </c>
      <c r="B165" s="1" t="b">
        <f>ISNUMBER(LEFT(A165,4)+1-1)</f>
        <v>0</v>
      </c>
      <c r="C165" s="1" t="str">
        <f t="shared" si="18"/>
        <v>2025-10-27</v>
      </c>
      <c r="D165" t="str">
        <f t="shared" si="13"/>
        <v>EXXON N/A</v>
      </c>
      <c r="E165" t="str">
        <f t="shared" si="14"/>
        <v>Avg +0.92%</v>
      </c>
      <c r="F165" t="str">
        <f t="shared" si="15"/>
        <v>S&amp;P500 +0.79%</v>
      </c>
      <c r="G165">
        <f t="shared" si="16"/>
        <v>0</v>
      </c>
      <c r="H165" t="str">
        <f t="shared" si="17"/>
        <v>2025-10-28 - Tuesday</v>
      </c>
    </row>
    <row r="166" spans="1:8" x14ac:dyDescent="0.35">
      <c r="A166" t="s">
        <v>207</v>
      </c>
      <c r="B166" s="1" t="b">
        <f>ISNUMBER(LEFT(A166,4)+1-1)</f>
        <v>0</v>
      </c>
      <c r="C166" s="1" t="str">
        <f t="shared" si="18"/>
        <v>2025-10-27</v>
      </c>
      <c r="D166" t="str">
        <f t="shared" si="13"/>
        <v>Avg +0.92%</v>
      </c>
      <c r="E166" t="str">
        <f t="shared" si="14"/>
        <v>S&amp;P500 +0.79%</v>
      </c>
      <c r="F166">
        <f t="shared" si="15"/>
        <v>0</v>
      </c>
      <c r="G166" t="str">
        <f t="shared" si="16"/>
        <v>2025-10-28 - Tuesday</v>
      </c>
      <c r="H166" t="str">
        <f t="shared" si="17"/>
        <v>Recs:</v>
      </c>
    </row>
    <row r="167" spans="1:8" x14ac:dyDescent="0.35">
      <c r="A167" t="s">
        <v>208</v>
      </c>
      <c r="B167" s="1" t="b">
        <f>ISNUMBER(LEFT(A167,4)+1-1)</f>
        <v>0</v>
      </c>
      <c r="C167" s="1" t="str">
        <f t="shared" si="18"/>
        <v>2025-10-27</v>
      </c>
      <c r="D167" t="str">
        <f t="shared" si="13"/>
        <v>S&amp;P500 +0.79%</v>
      </c>
      <c r="E167">
        <f t="shared" si="14"/>
        <v>0</v>
      </c>
      <c r="F167" t="str">
        <f t="shared" si="15"/>
        <v>2025-10-28 - Tuesday</v>
      </c>
      <c r="G167" t="str">
        <f t="shared" si="16"/>
        <v>Recs:</v>
      </c>
      <c r="H167" t="str">
        <f t="shared" si="17"/>
        <v>AAPL – Apple Inc.</v>
      </c>
    </row>
    <row r="168" spans="1:8" x14ac:dyDescent="0.35">
      <c r="A168" t="s">
        <v>209</v>
      </c>
      <c r="B168" s="1" t="b">
        <f>ISNUMBER(LEFT(A168,4)+1-1)</f>
        <v>0</v>
      </c>
      <c r="C168" s="1" t="str">
        <f t="shared" si="18"/>
        <v>2025-10-27</v>
      </c>
      <c r="D168">
        <f t="shared" si="13"/>
        <v>0</v>
      </c>
      <c r="E168" t="str">
        <f t="shared" si="14"/>
        <v>2025-10-28 - Tuesday</v>
      </c>
      <c r="F168" t="str">
        <f t="shared" si="15"/>
        <v>Recs:</v>
      </c>
      <c r="G168" t="str">
        <f t="shared" si="16"/>
        <v>AAPL – Apple Inc.</v>
      </c>
      <c r="H168" t="str">
        <f t="shared" si="17"/>
        <v>MSFT – Microsoft Corp.</v>
      </c>
    </row>
    <row r="169" spans="1:8" x14ac:dyDescent="0.35">
      <c r="A169" t="s">
        <v>210</v>
      </c>
      <c r="B169" s="1" t="b">
        <f>ISNUMBER(LEFT(A169,4)+1-1)</f>
        <v>0</v>
      </c>
      <c r="C169" s="1" t="str">
        <f t="shared" si="18"/>
        <v>2025-10-27</v>
      </c>
      <c r="D169" t="str">
        <f t="shared" si="13"/>
        <v>2025-10-28 - Tuesday</v>
      </c>
      <c r="E169" t="str">
        <f t="shared" si="14"/>
        <v>Recs:</v>
      </c>
      <c r="F169" t="str">
        <f t="shared" si="15"/>
        <v>AAPL – Apple Inc.</v>
      </c>
      <c r="G169" t="str">
        <f t="shared" si="16"/>
        <v>MSFT – Microsoft Corp.</v>
      </c>
      <c r="H169" t="str">
        <f t="shared" si="17"/>
        <v>GOOGL – Alphabet Inc.</v>
      </c>
    </row>
    <row r="170" spans="1:8" x14ac:dyDescent="0.35">
      <c r="B170" s="1" t="b">
        <f>ISNUMBER(LEFT(A170,4)+1-1)</f>
        <v>0</v>
      </c>
      <c r="C170" s="1" t="str">
        <f t="shared" si="18"/>
        <v>2025-10-27</v>
      </c>
      <c r="D170" t="str">
        <f t="shared" si="13"/>
        <v>Recs:</v>
      </c>
      <c r="E170" t="str">
        <f t="shared" si="14"/>
        <v>AAPL – Apple Inc.</v>
      </c>
      <c r="F170" t="str">
        <f t="shared" si="15"/>
        <v>MSFT – Microsoft Corp.</v>
      </c>
      <c r="G170" t="str">
        <f t="shared" si="16"/>
        <v>GOOGL – Alphabet Inc.</v>
      </c>
      <c r="H170" t="str">
        <f t="shared" si="17"/>
        <v>TSLA – Tesla Inc.</v>
      </c>
    </row>
    <row r="171" spans="1:8" x14ac:dyDescent="0.35">
      <c r="A171" s="2" t="s">
        <v>211</v>
      </c>
      <c r="B171" s="1" t="b">
        <f>ISNUMBER(LEFT(A171,4)+1-1)</f>
        <v>1</v>
      </c>
      <c r="C171" s="1" t="str">
        <f t="shared" si="18"/>
        <v>2025-10-28</v>
      </c>
      <c r="D171" t="str">
        <f t="shared" si="13"/>
        <v>AAPL – Apple Inc.</v>
      </c>
      <c r="E171" t="str">
        <f t="shared" si="14"/>
        <v>MSFT – Microsoft Corp.</v>
      </c>
      <c r="F171" t="str">
        <f t="shared" si="15"/>
        <v>GOOGL – Alphabet Inc.</v>
      </c>
      <c r="G171" t="str">
        <f t="shared" si="16"/>
        <v>TSLA – Tesla Inc.</v>
      </c>
      <c r="H171" t="str">
        <f t="shared" si="17"/>
        <v>TELIA – Telia Company AB</v>
      </c>
    </row>
    <row r="172" spans="1:8" x14ac:dyDescent="0.35">
      <c r="A172" t="s">
        <v>1</v>
      </c>
      <c r="B172" s="1" t="b">
        <f>ISNUMBER(LEFT(A172,4)+1-1)</f>
        <v>0</v>
      </c>
      <c r="C172" s="1" t="str">
        <f t="shared" si="18"/>
        <v>2025-10-28</v>
      </c>
      <c r="D172" t="str">
        <f t="shared" si="13"/>
        <v>MSFT – Microsoft Corp.</v>
      </c>
      <c r="E172" t="str">
        <f t="shared" si="14"/>
        <v>GOOGL – Alphabet Inc.</v>
      </c>
      <c r="F172" t="str">
        <f t="shared" si="15"/>
        <v>TSLA – Tesla Inc.</v>
      </c>
      <c r="G172" t="str">
        <f t="shared" si="16"/>
        <v>TELIA – Telia Company AB</v>
      </c>
      <c r="H172" t="str">
        <f t="shared" si="17"/>
        <v>Perf (prev recs):</v>
      </c>
    </row>
    <row r="173" spans="1:8" x14ac:dyDescent="0.35">
      <c r="A173" t="s">
        <v>36</v>
      </c>
      <c r="B173" s="1" t="b">
        <f>ISNUMBER(LEFT(A173,4)+1-1)</f>
        <v>0</v>
      </c>
      <c r="C173" s="1" t="str">
        <f t="shared" si="18"/>
        <v>2025-10-28</v>
      </c>
      <c r="D173" t="str">
        <f t="shared" si="13"/>
        <v>GOOGL – Alphabet Inc.</v>
      </c>
      <c r="E173" t="str">
        <f t="shared" si="14"/>
        <v>TSLA – Tesla Inc.</v>
      </c>
      <c r="F173" t="str">
        <f t="shared" si="15"/>
        <v>TELIA – Telia Company AB</v>
      </c>
      <c r="G173" t="str">
        <f t="shared" si="16"/>
        <v>Perf (prev recs):</v>
      </c>
      <c r="H173" t="str">
        <f t="shared" si="17"/>
        <v>AAPL +X.XX%</v>
      </c>
    </row>
    <row r="174" spans="1:8" x14ac:dyDescent="0.35">
      <c r="A174" t="s">
        <v>196</v>
      </c>
      <c r="B174" s="1" t="b">
        <f>ISNUMBER(LEFT(A174,4)+1-1)</f>
        <v>0</v>
      </c>
      <c r="C174" s="1" t="str">
        <f t="shared" si="18"/>
        <v>2025-10-28</v>
      </c>
      <c r="D174" t="str">
        <f t="shared" si="13"/>
        <v>TSLA – Tesla Inc.</v>
      </c>
      <c r="E174" t="str">
        <f t="shared" si="14"/>
        <v>TELIA – Telia Company AB</v>
      </c>
      <c r="F174" t="str">
        <f t="shared" si="15"/>
        <v>Perf (prev recs):</v>
      </c>
      <c r="G174" t="str">
        <f t="shared" si="16"/>
        <v>AAPL +X.XX%</v>
      </c>
      <c r="H174">
        <f t="shared" si="17"/>
        <v>0</v>
      </c>
    </row>
    <row r="175" spans="1:8" x14ac:dyDescent="0.35">
      <c r="A175" t="s">
        <v>212</v>
      </c>
      <c r="B175" s="1" t="b">
        <f>ISNUMBER(LEFT(A175,4)+1-1)</f>
        <v>0</v>
      </c>
      <c r="C175" s="1" t="str">
        <f t="shared" si="18"/>
        <v>2025-10-28</v>
      </c>
      <c r="D175" t="str">
        <f t="shared" si="13"/>
        <v>TELIA – Telia Company AB</v>
      </c>
      <c r="E175" t="str">
        <f t="shared" si="14"/>
        <v>Perf (prev recs):</v>
      </c>
      <c r="F175" t="str">
        <f t="shared" si="15"/>
        <v>AAPL +X.XX%</v>
      </c>
      <c r="G175">
        <f t="shared" si="16"/>
        <v>0</v>
      </c>
      <c r="H175" t="str">
        <f t="shared" si="17"/>
        <v>2025-11-11 - Tuesday</v>
      </c>
    </row>
    <row r="176" spans="1:8" x14ac:dyDescent="0.35">
      <c r="A176" t="s">
        <v>40</v>
      </c>
      <c r="B176" s="1" t="b">
        <f>ISNUMBER(LEFT(A176,4)+1-1)</f>
        <v>0</v>
      </c>
      <c r="C176" s="1" t="str">
        <f t="shared" si="18"/>
        <v>2025-10-28</v>
      </c>
      <c r="D176" t="str">
        <f t="shared" si="13"/>
        <v>Perf (prev recs):</v>
      </c>
      <c r="E176" t="str">
        <f t="shared" si="14"/>
        <v>AAPL +X.XX%</v>
      </c>
      <c r="F176">
        <f t="shared" si="15"/>
        <v>0</v>
      </c>
      <c r="G176" t="str">
        <f t="shared" si="16"/>
        <v>2025-11-11 - Tuesday</v>
      </c>
      <c r="H176" t="str">
        <f t="shared" si="17"/>
        <v>Recs:</v>
      </c>
    </row>
    <row r="177" spans="1:8" x14ac:dyDescent="0.35">
      <c r="A177" t="s">
        <v>186</v>
      </c>
      <c r="B177" s="1" t="b">
        <f>ISNUMBER(LEFT(A177,4)+1-1)</f>
        <v>0</v>
      </c>
      <c r="C177" s="1" t="str">
        <f t="shared" si="18"/>
        <v>2025-10-28</v>
      </c>
      <c r="D177" t="str">
        <f t="shared" si="13"/>
        <v>AAPL +X.XX%</v>
      </c>
      <c r="E177">
        <f t="shared" si="14"/>
        <v>0</v>
      </c>
      <c r="F177" t="str">
        <f t="shared" si="15"/>
        <v>2025-11-11 - Tuesday</v>
      </c>
      <c r="G177" t="str">
        <f t="shared" si="16"/>
        <v>Recs:</v>
      </c>
      <c r="H177" t="str">
        <f t="shared" si="17"/>
        <v>AZN – AstraZeneca plc</v>
      </c>
    </row>
    <row r="178" spans="1:8" x14ac:dyDescent="0.35">
      <c r="A178" t="s">
        <v>7</v>
      </c>
      <c r="B178" s="1" t="b">
        <f>ISNUMBER(LEFT(A178,4)+1-1)</f>
        <v>0</v>
      </c>
      <c r="C178" s="1" t="str">
        <f t="shared" si="18"/>
        <v>2025-10-28</v>
      </c>
      <c r="D178">
        <f t="shared" si="13"/>
        <v>0</v>
      </c>
      <c r="E178" t="str">
        <f t="shared" si="14"/>
        <v>2025-11-11 - Tuesday</v>
      </c>
      <c r="F178" t="str">
        <f t="shared" si="15"/>
        <v>Recs:</v>
      </c>
      <c r="G178" t="str">
        <f t="shared" si="16"/>
        <v>AZN – AstraZeneca plc</v>
      </c>
      <c r="H178" t="str">
        <f t="shared" si="17"/>
        <v>EQTAB.ST – EQT AB</v>
      </c>
    </row>
    <row r="179" spans="1:8" x14ac:dyDescent="0.35">
      <c r="A179" t="s">
        <v>213</v>
      </c>
      <c r="B179" s="1" t="b">
        <f>ISNUMBER(LEFT(A179,4)+1-1)</f>
        <v>0</v>
      </c>
      <c r="C179" s="1" t="str">
        <f t="shared" si="18"/>
        <v>2025-10-28</v>
      </c>
      <c r="D179" t="str">
        <f t="shared" si="13"/>
        <v>2025-11-11 - Tuesday</v>
      </c>
      <c r="E179" t="str">
        <f t="shared" si="14"/>
        <v>Recs:</v>
      </c>
      <c r="F179" t="str">
        <f t="shared" si="15"/>
        <v>AZN – AstraZeneca plc</v>
      </c>
      <c r="G179" t="str">
        <f t="shared" si="16"/>
        <v>EQTAB.ST – EQT AB</v>
      </c>
      <c r="H179" t="str">
        <f t="shared" si="17"/>
        <v>HEXA‑B.ST – Hexagon AB</v>
      </c>
    </row>
    <row r="180" spans="1:8" x14ac:dyDescent="0.35">
      <c r="B180" s="1" t="b">
        <f>ISNUMBER(LEFT(A180,4)+1-1)</f>
        <v>0</v>
      </c>
      <c r="C180" s="1" t="str">
        <f t="shared" si="18"/>
        <v>2025-10-28</v>
      </c>
      <c r="D180" t="str">
        <f t="shared" si="13"/>
        <v>Recs:</v>
      </c>
      <c r="E180" t="str">
        <f t="shared" si="14"/>
        <v>AZN – AstraZeneca plc</v>
      </c>
      <c r="F180" t="str">
        <f t="shared" si="15"/>
        <v>EQTAB.ST – EQT AB</v>
      </c>
      <c r="G180" t="str">
        <f t="shared" si="16"/>
        <v>HEXA‑B.ST – Hexagon AB</v>
      </c>
      <c r="H180" t="str">
        <f t="shared" si="17"/>
        <v>SAABb.ST – Saab AB B</v>
      </c>
    </row>
    <row r="181" spans="1:8" x14ac:dyDescent="0.35">
      <c r="A181" s="2" t="s">
        <v>112</v>
      </c>
      <c r="B181" s="1" t="b">
        <f>ISNUMBER(LEFT(A181,4)+1-1)</f>
        <v>1</v>
      </c>
      <c r="C181" s="1" t="str">
        <f t="shared" si="18"/>
        <v>2025-11-11</v>
      </c>
      <c r="D181" t="str">
        <f t="shared" si="13"/>
        <v>AZN – AstraZeneca plc</v>
      </c>
      <c r="E181" t="str">
        <f t="shared" si="14"/>
        <v>EQTAB.ST – EQT AB</v>
      </c>
      <c r="F181" t="str">
        <f t="shared" si="15"/>
        <v>HEXA‑B.ST – Hexagon AB</v>
      </c>
      <c r="G181" t="str">
        <f t="shared" si="16"/>
        <v>SAABb.ST – Saab AB B</v>
      </c>
      <c r="H181" t="str">
        <f t="shared" si="17"/>
        <v>BOL.ST – Boliden AB</v>
      </c>
    </row>
    <row r="182" spans="1:8" x14ac:dyDescent="0.35">
      <c r="A182" t="s">
        <v>1</v>
      </c>
      <c r="B182" s="1" t="b">
        <f>ISNUMBER(LEFT(A182,4)+1-1)</f>
        <v>0</v>
      </c>
      <c r="C182" s="1" t="str">
        <f t="shared" si="18"/>
        <v>2025-11-11</v>
      </c>
      <c r="D182" t="str">
        <f t="shared" si="13"/>
        <v>EQTAB.ST – EQT AB</v>
      </c>
      <c r="E182" t="str">
        <f t="shared" si="14"/>
        <v>HEXA‑B.ST – Hexagon AB</v>
      </c>
      <c r="F182" t="str">
        <f t="shared" si="15"/>
        <v>SAABb.ST – Saab AB B</v>
      </c>
      <c r="G182" t="str">
        <f t="shared" si="16"/>
        <v>BOL.ST – Boliden AB</v>
      </c>
      <c r="H182" t="str">
        <f t="shared" si="17"/>
        <v>Perf (prev recs):</v>
      </c>
    </row>
    <row r="183" spans="1:8" x14ac:dyDescent="0.35">
      <c r="A183" t="s">
        <v>103</v>
      </c>
      <c r="B183" s="1" t="b">
        <f>ISNUMBER(LEFT(A183,4)+1-1)</f>
        <v>0</v>
      </c>
      <c r="C183" s="1" t="str">
        <f t="shared" si="18"/>
        <v>2025-11-11</v>
      </c>
      <c r="D183" t="str">
        <f t="shared" si="13"/>
        <v>HEXA‑B.ST – Hexagon AB</v>
      </c>
      <c r="E183" t="str">
        <f t="shared" si="14"/>
        <v>SAABb.ST – Saab AB B</v>
      </c>
      <c r="F183" t="str">
        <f t="shared" si="15"/>
        <v>BOL.ST – Boliden AB</v>
      </c>
      <c r="G183" t="str">
        <f t="shared" si="16"/>
        <v>Perf (prev recs):</v>
      </c>
      <c r="H183" t="str">
        <f t="shared" si="17"/>
        <v>SWEC‑B.ST N/A</v>
      </c>
    </row>
    <row r="184" spans="1:8" x14ac:dyDescent="0.35">
      <c r="A184" t="s">
        <v>104</v>
      </c>
      <c r="B184" s="1" t="b">
        <f>ISNUMBER(LEFT(A184,4)+1-1)</f>
        <v>0</v>
      </c>
      <c r="C184" s="1" t="str">
        <f t="shared" si="18"/>
        <v>2025-11-11</v>
      </c>
      <c r="D184" t="str">
        <f t="shared" si="13"/>
        <v>SAABb.ST – Saab AB B</v>
      </c>
      <c r="E184" t="str">
        <f t="shared" si="14"/>
        <v>BOL.ST – Boliden AB</v>
      </c>
      <c r="F184" t="str">
        <f t="shared" si="15"/>
        <v>Perf (prev recs):</v>
      </c>
      <c r="G184" t="str">
        <f t="shared" si="16"/>
        <v>SWEC‑B.ST N/A</v>
      </c>
      <c r="H184" t="str">
        <f t="shared" si="17"/>
        <v>ERIC‑B.ST N/A</v>
      </c>
    </row>
    <row r="185" spans="1:8" x14ac:dyDescent="0.35">
      <c r="A185" t="s">
        <v>102</v>
      </c>
      <c r="B185" s="1" t="b">
        <f>ISNUMBER(LEFT(A185,4)+1-1)</f>
        <v>0</v>
      </c>
      <c r="C185" s="1" t="str">
        <f t="shared" si="18"/>
        <v>2025-11-11</v>
      </c>
      <c r="D185" t="str">
        <f t="shared" si="13"/>
        <v>BOL.ST – Boliden AB</v>
      </c>
      <c r="E185" t="str">
        <f t="shared" si="14"/>
        <v>Perf (prev recs):</v>
      </c>
      <c r="F185" t="str">
        <f t="shared" si="15"/>
        <v>SWEC‑B.ST N/A</v>
      </c>
      <c r="G185" t="str">
        <f t="shared" si="16"/>
        <v>ERIC‑B.ST N/A</v>
      </c>
      <c r="H185" t="str">
        <f t="shared" si="17"/>
        <v>SSAB‑B.ST N/A</v>
      </c>
    </row>
    <row r="186" spans="1:8" x14ac:dyDescent="0.35">
      <c r="A186" t="s">
        <v>105</v>
      </c>
      <c r="B186" s="1" t="b">
        <f>ISNUMBER(LEFT(A186,4)+1-1)</f>
        <v>0</v>
      </c>
      <c r="C186" s="1" t="str">
        <f t="shared" si="18"/>
        <v>2025-11-11</v>
      </c>
      <c r="D186" t="str">
        <f t="shared" si="13"/>
        <v>Perf (prev recs):</v>
      </c>
      <c r="E186" t="str">
        <f t="shared" si="14"/>
        <v>SWEC‑B.ST N/A</v>
      </c>
      <c r="F186" t="str">
        <f t="shared" si="15"/>
        <v>ERIC‑B.ST N/A</v>
      </c>
      <c r="G186" t="str">
        <f t="shared" si="16"/>
        <v>SSAB‑B.ST N/A</v>
      </c>
      <c r="H186" t="str">
        <f t="shared" si="17"/>
        <v>SHBa.ST N/A</v>
      </c>
    </row>
    <row r="187" spans="1:8" x14ac:dyDescent="0.35">
      <c r="A187" t="s">
        <v>113</v>
      </c>
      <c r="B187" s="1" t="b">
        <f>ISNUMBER(LEFT(A187,4)+1-1)</f>
        <v>0</v>
      </c>
      <c r="C187" s="1" t="str">
        <f t="shared" si="18"/>
        <v>2025-11-11</v>
      </c>
      <c r="D187" t="str">
        <f t="shared" si="13"/>
        <v>SWEC‑B.ST N/A</v>
      </c>
      <c r="E187" t="str">
        <f t="shared" si="14"/>
        <v>ERIC‑B.ST N/A</v>
      </c>
      <c r="F187" t="str">
        <f t="shared" si="15"/>
        <v>SSAB‑B.ST N/A</v>
      </c>
      <c r="G187" t="str">
        <f t="shared" si="16"/>
        <v>SHBa.ST N/A</v>
      </c>
      <c r="H187" t="str">
        <f t="shared" si="17"/>
        <v>INVE‑B.ST N/A</v>
      </c>
    </row>
    <row r="188" spans="1:8" x14ac:dyDescent="0.35">
      <c r="A188" t="s">
        <v>7</v>
      </c>
      <c r="B188" s="1" t="b">
        <f>ISNUMBER(LEFT(A188,4)+1-1)</f>
        <v>0</v>
      </c>
      <c r="C188" s="1" t="str">
        <f t="shared" si="18"/>
        <v>2025-11-11</v>
      </c>
      <c r="D188" t="str">
        <f t="shared" si="13"/>
        <v>ERIC‑B.ST N/A</v>
      </c>
      <c r="E188" t="str">
        <f t="shared" si="14"/>
        <v>SSAB‑B.ST N/A</v>
      </c>
      <c r="F188" t="str">
        <f t="shared" si="15"/>
        <v>SHBa.ST N/A</v>
      </c>
      <c r="G188" t="str">
        <f t="shared" si="16"/>
        <v>INVE‑B.ST N/A</v>
      </c>
      <c r="H188" t="str">
        <f t="shared" si="17"/>
        <v>Avg N/A</v>
      </c>
    </row>
    <row r="189" spans="1:8" x14ac:dyDescent="0.35">
      <c r="A189" t="s">
        <v>107</v>
      </c>
      <c r="B189" s="1" t="b">
        <f>ISNUMBER(LEFT(A189,4)+1-1)</f>
        <v>0</v>
      </c>
      <c r="C189" s="1" t="str">
        <f t="shared" si="18"/>
        <v>2025-11-11</v>
      </c>
      <c r="D189" t="str">
        <f t="shared" si="13"/>
        <v>SSAB‑B.ST N/A</v>
      </c>
      <c r="E189" t="str">
        <f t="shared" si="14"/>
        <v>SHBa.ST N/A</v>
      </c>
      <c r="F189" t="str">
        <f t="shared" si="15"/>
        <v>INVE‑B.ST N/A</v>
      </c>
      <c r="G189" t="str">
        <f t="shared" si="16"/>
        <v>Avg N/A</v>
      </c>
      <c r="H189" t="str">
        <f t="shared" si="17"/>
        <v>S&amp;P500 +0.34%</v>
      </c>
    </row>
    <row r="190" spans="1:8" x14ac:dyDescent="0.35">
      <c r="A190" t="s">
        <v>114</v>
      </c>
      <c r="B190" s="1" t="b">
        <f>ISNUMBER(LEFT(A190,4)+1-1)</f>
        <v>0</v>
      </c>
      <c r="C190" s="1" t="str">
        <f t="shared" si="18"/>
        <v>2025-11-11</v>
      </c>
      <c r="D190" t="str">
        <f t="shared" si="13"/>
        <v>SHBa.ST N/A</v>
      </c>
      <c r="E190" t="str">
        <f t="shared" si="14"/>
        <v>INVE‑B.ST N/A</v>
      </c>
      <c r="F190" t="str">
        <f t="shared" si="15"/>
        <v>Avg N/A</v>
      </c>
      <c r="G190" t="str">
        <f t="shared" si="16"/>
        <v>S&amp;P500 +0.34%</v>
      </c>
      <c r="H190">
        <f t="shared" si="17"/>
        <v>0</v>
      </c>
    </row>
    <row r="191" spans="1:8" x14ac:dyDescent="0.35">
      <c r="A191" t="s">
        <v>115</v>
      </c>
      <c r="B191" s="1" t="b">
        <f>ISNUMBER(LEFT(A191,4)+1-1)</f>
        <v>0</v>
      </c>
      <c r="C191" s="1" t="str">
        <f t="shared" si="18"/>
        <v>2025-11-11</v>
      </c>
      <c r="D191" t="str">
        <f t="shared" si="13"/>
        <v>INVE‑B.ST N/A</v>
      </c>
      <c r="E191" t="str">
        <f t="shared" si="14"/>
        <v>Avg N/A</v>
      </c>
      <c r="F191" t="str">
        <f t="shared" si="15"/>
        <v>S&amp;P500 +0.34%</v>
      </c>
      <c r="G191">
        <f t="shared" si="16"/>
        <v>0</v>
      </c>
      <c r="H191" t="str">
        <f t="shared" si="17"/>
        <v>2025-11-12 - Wednesday</v>
      </c>
    </row>
    <row r="192" spans="1:8" x14ac:dyDescent="0.35">
      <c r="A192" t="s">
        <v>116</v>
      </c>
      <c r="B192" s="1" t="b">
        <f>ISNUMBER(LEFT(A192,4)+1-1)</f>
        <v>0</v>
      </c>
      <c r="C192" s="1" t="str">
        <f t="shared" si="18"/>
        <v>2025-11-11</v>
      </c>
      <c r="D192" t="str">
        <f t="shared" si="13"/>
        <v>Avg N/A</v>
      </c>
      <c r="E192" t="str">
        <f t="shared" si="14"/>
        <v>S&amp;P500 +0.34%</v>
      </c>
      <c r="F192">
        <f t="shared" si="15"/>
        <v>0</v>
      </c>
      <c r="G192" t="str">
        <f t="shared" si="16"/>
        <v>2025-11-12 - Wednesday</v>
      </c>
      <c r="H192" t="str">
        <f t="shared" si="17"/>
        <v>Recs:</v>
      </c>
    </row>
    <row r="193" spans="1:8" x14ac:dyDescent="0.35">
      <c r="A193" t="s">
        <v>110</v>
      </c>
      <c r="B193" s="1" t="b">
        <f>ISNUMBER(LEFT(A193,4)+1-1)</f>
        <v>0</v>
      </c>
      <c r="C193" s="1" t="str">
        <f t="shared" si="18"/>
        <v>2025-11-11</v>
      </c>
      <c r="D193" t="str">
        <f t="shared" si="13"/>
        <v>S&amp;P500 +0.34%</v>
      </c>
      <c r="E193">
        <f t="shared" si="14"/>
        <v>0</v>
      </c>
      <c r="F193" t="str">
        <f t="shared" si="15"/>
        <v>2025-11-12 - Wednesday</v>
      </c>
      <c r="G193" t="str">
        <f t="shared" si="16"/>
        <v>Recs:</v>
      </c>
      <c r="H193" t="str">
        <f t="shared" si="17"/>
        <v>AZN – AstraZeneca plc</v>
      </c>
    </row>
    <row r="194" spans="1:8" x14ac:dyDescent="0.35">
      <c r="A194" t="s">
        <v>9</v>
      </c>
      <c r="B194" s="1" t="b">
        <f>ISNUMBER(LEFT(A194,4)+1-1)</f>
        <v>0</v>
      </c>
      <c r="C194" s="1" t="str">
        <f t="shared" si="18"/>
        <v>2025-11-11</v>
      </c>
      <c r="D194">
        <f t="shared" si="13"/>
        <v>0</v>
      </c>
      <c r="E194" t="str">
        <f t="shared" si="14"/>
        <v>2025-11-12 - Wednesday</v>
      </c>
      <c r="F194" t="str">
        <f t="shared" si="15"/>
        <v>Recs:</v>
      </c>
      <c r="G194" t="str">
        <f t="shared" si="16"/>
        <v>AZN – AstraZeneca plc</v>
      </c>
      <c r="H194" t="str">
        <f t="shared" si="17"/>
        <v>EQT.ST – EQT AB</v>
      </c>
    </row>
    <row r="195" spans="1:8" x14ac:dyDescent="0.35">
      <c r="A195" t="s">
        <v>117</v>
      </c>
      <c r="B195" s="1" t="b">
        <f>ISNUMBER(LEFT(A195,4)+1-1)</f>
        <v>0</v>
      </c>
      <c r="C195" s="1" t="str">
        <f t="shared" si="18"/>
        <v>2025-11-11</v>
      </c>
      <c r="D195" t="str">
        <f t="shared" ref="D195:D258" si="19">A197</f>
        <v>2025-11-12 - Wednesday</v>
      </c>
      <c r="E195" t="str">
        <f t="shared" ref="E195:E258" si="20">A198</f>
        <v>Recs:</v>
      </c>
      <c r="F195" t="str">
        <f t="shared" ref="F195:F258" si="21">A199</f>
        <v>AZN – AstraZeneca plc</v>
      </c>
      <c r="G195" t="str">
        <f t="shared" ref="G195:G258" si="22">A200</f>
        <v>EQT.ST – EQT AB</v>
      </c>
      <c r="H195" t="str">
        <f t="shared" ref="H195:H258" si="23">A201</f>
        <v>HEXA‑B.ST – Hexagon AB</v>
      </c>
    </row>
    <row r="196" spans="1:8" x14ac:dyDescent="0.35">
      <c r="B196" s="1" t="b">
        <f>ISNUMBER(LEFT(A196,4)+1-1)</f>
        <v>0</v>
      </c>
      <c r="C196" s="1" t="str">
        <f t="shared" ref="C196:C259" si="24">IF(B196,LEFT(A196,10),C195)</f>
        <v>2025-11-11</v>
      </c>
      <c r="D196" t="str">
        <f t="shared" si="19"/>
        <v>Recs:</v>
      </c>
      <c r="E196" t="str">
        <f t="shared" si="20"/>
        <v>AZN – AstraZeneca plc</v>
      </c>
      <c r="F196" t="str">
        <f t="shared" si="21"/>
        <v>EQT.ST – EQT AB</v>
      </c>
      <c r="G196" t="str">
        <f t="shared" si="22"/>
        <v>HEXA‑B.ST – Hexagon AB</v>
      </c>
      <c r="H196" t="str">
        <f t="shared" si="23"/>
        <v>SAABb.ST – Saab AB B</v>
      </c>
    </row>
    <row r="197" spans="1:8" x14ac:dyDescent="0.35">
      <c r="A197" s="2" t="s">
        <v>118</v>
      </c>
      <c r="B197" s="1" t="b">
        <f>ISNUMBER(LEFT(A197,4)+1-1)</f>
        <v>1</v>
      </c>
      <c r="C197" s="1" t="str">
        <f t="shared" si="24"/>
        <v>2025-11-12</v>
      </c>
      <c r="D197" t="str">
        <f t="shared" si="19"/>
        <v>AZN – AstraZeneca plc</v>
      </c>
      <c r="E197" t="str">
        <f t="shared" si="20"/>
        <v>EQT.ST – EQT AB</v>
      </c>
      <c r="F197" t="str">
        <f t="shared" si="21"/>
        <v>HEXA‑B.ST – Hexagon AB</v>
      </c>
      <c r="G197" t="str">
        <f t="shared" si="22"/>
        <v>SAABb.ST – Saab AB B</v>
      </c>
      <c r="H197" t="str">
        <f t="shared" si="23"/>
        <v>BOL.ST – Boliden AB</v>
      </c>
    </row>
    <row r="198" spans="1:8" x14ac:dyDescent="0.35">
      <c r="A198" t="s">
        <v>1</v>
      </c>
      <c r="B198" s="1" t="b">
        <f>ISNUMBER(LEFT(A198,4)+1-1)</f>
        <v>0</v>
      </c>
      <c r="C198" s="1" t="str">
        <f t="shared" si="24"/>
        <v>2025-11-12</v>
      </c>
      <c r="D198" t="str">
        <f t="shared" si="19"/>
        <v>EQT.ST – EQT AB</v>
      </c>
      <c r="E198" t="str">
        <f t="shared" si="20"/>
        <v>HEXA‑B.ST – Hexagon AB</v>
      </c>
      <c r="F198" t="str">
        <f t="shared" si="21"/>
        <v>SAABb.ST – Saab AB B</v>
      </c>
      <c r="G198" t="str">
        <f t="shared" si="22"/>
        <v>BOL.ST – Boliden AB</v>
      </c>
      <c r="H198" t="str">
        <f t="shared" si="23"/>
        <v>Perf (prev recs):</v>
      </c>
    </row>
    <row r="199" spans="1:8" x14ac:dyDescent="0.35">
      <c r="A199" t="s">
        <v>103</v>
      </c>
      <c r="B199" s="1" t="b">
        <f>ISNUMBER(LEFT(A199,4)+1-1)</f>
        <v>0</v>
      </c>
      <c r="C199" s="1" t="str">
        <f t="shared" si="24"/>
        <v>2025-11-12</v>
      </c>
      <c r="D199" t="str">
        <f t="shared" si="19"/>
        <v>HEXA‑B.ST – Hexagon AB</v>
      </c>
      <c r="E199" t="str">
        <f t="shared" si="20"/>
        <v>SAABb.ST – Saab AB B</v>
      </c>
      <c r="F199" t="str">
        <f t="shared" si="21"/>
        <v>BOL.ST – Boliden AB</v>
      </c>
      <c r="G199" t="str">
        <f t="shared" si="22"/>
        <v>Perf (prev recs):</v>
      </c>
      <c r="H199" t="str">
        <f t="shared" si="23"/>
        <v>AZN +0.00%</v>
      </c>
    </row>
    <row r="200" spans="1:8" x14ac:dyDescent="0.35">
      <c r="A200" t="s">
        <v>119</v>
      </c>
      <c r="B200" s="1" t="b">
        <f>ISNUMBER(LEFT(A200,4)+1-1)</f>
        <v>0</v>
      </c>
      <c r="C200" s="1" t="str">
        <f t="shared" si="24"/>
        <v>2025-11-12</v>
      </c>
      <c r="D200" t="str">
        <f t="shared" si="19"/>
        <v>SAABb.ST – Saab AB B</v>
      </c>
      <c r="E200" t="str">
        <f t="shared" si="20"/>
        <v>BOL.ST – Boliden AB</v>
      </c>
      <c r="F200" t="str">
        <f t="shared" si="21"/>
        <v>Perf (prev recs):</v>
      </c>
      <c r="G200" t="str">
        <f t="shared" si="22"/>
        <v>AZN +0.00%</v>
      </c>
      <c r="H200" t="str">
        <f t="shared" si="23"/>
        <v>EQTAB.ST N/A</v>
      </c>
    </row>
    <row r="201" spans="1:8" x14ac:dyDescent="0.35">
      <c r="A201" t="s">
        <v>102</v>
      </c>
      <c r="B201" s="1" t="b">
        <f>ISNUMBER(LEFT(A201,4)+1-1)</f>
        <v>0</v>
      </c>
      <c r="C201" s="1" t="str">
        <f t="shared" si="24"/>
        <v>2025-11-12</v>
      </c>
      <c r="D201" t="str">
        <f t="shared" si="19"/>
        <v>BOL.ST – Boliden AB</v>
      </c>
      <c r="E201" t="str">
        <f t="shared" si="20"/>
        <v>Perf (prev recs):</v>
      </c>
      <c r="F201" t="str">
        <f t="shared" si="21"/>
        <v>AZN +0.00%</v>
      </c>
      <c r="G201" t="str">
        <f t="shared" si="22"/>
        <v>EQTAB.ST N/A</v>
      </c>
      <c r="H201" t="str">
        <f t="shared" si="23"/>
        <v>HEXA‑B.ST N/A</v>
      </c>
    </row>
    <row r="202" spans="1:8" x14ac:dyDescent="0.35">
      <c r="A202" t="s">
        <v>105</v>
      </c>
      <c r="B202" s="1" t="b">
        <f>ISNUMBER(LEFT(A202,4)+1-1)</f>
        <v>0</v>
      </c>
      <c r="C202" s="1" t="str">
        <f t="shared" si="24"/>
        <v>2025-11-12</v>
      </c>
      <c r="D202" t="str">
        <f t="shared" si="19"/>
        <v>Perf (prev recs):</v>
      </c>
      <c r="E202" t="str">
        <f t="shared" si="20"/>
        <v>AZN +0.00%</v>
      </c>
      <c r="F202" t="str">
        <f t="shared" si="21"/>
        <v>EQTAB.ST N/A</v>
      </c>
      <c r="G202" t="str">
        <f t="shared" si="22"/>
        <v>HEXA‑B.ST N/A</v>
      </c>
      <c r="H202" t="str">
        <f t="shared" si="23"/>
        <v>SAABb.ST N/A</v>
      </c>
    </row>
    <row r="203" spans="1:8" x14ac:dyDescent="0.35">
      <c r="A203" t="s">
        <v>113</v>
      </c>
      <c r="B203" s="1" t="b">
        <f>ISNUMBER(LEFT(A203,4)+1-1)</f>
        <v>0</v>
      </c>
      <c r="C203" s="1" t="str">
        <f t="shared" si="24"/>
        <v>2025-11-12</v>
      </c>
      <c r="D203" t="str">
        <f t="shared" si="19"/>
        <v>AZN +0.00%</v>
      </c>
      <c r="E203" t="str">
        <f t="shared" si="20"/>
        <v>EQTAB.ST N/A</v>
      </c>
      <c r="F203" t="str">
        <f t="shared" si="21"/>
        <v>HEXA‑B.ST N/A</v>
      </c>
      <c r="G203" t="str">
        <f t="shared" si="22"/>
        <v>SAABb.ST N/A</v>
      </c>
      <c r="H203" t="str">
        <f t="shared" si="23"/>
        <v>BOL.ST N/A</v>
      </c>
    </row>
    <row r="204" spans="1:8" x14ac:dyDescent="0.35">
      <c r="A204" t="s">
        <v>7</v>
      </c>
      <c r="B204" s="1" t="b">
        <f>ISNUMBER(LEFT(A204,4)+1-1)</f>
        <v>0</v>
      </c>
      <c r="C204" s="1" t="str">
        <f t="shared" si="24"/>
        <v>2025-11-12</v>
      </c>
      <c r="D204" t="str">
        <f t="shared" si="19"/>
        <v>EQTAB.ST N/A</v>
      </c>
      <c r="E204" t="str">
        <f t="shared" si="20"/>
        <v>HEXA‑B.ST N/A</v>
      </c>
      <c r="F204" t="str">
        <f t="shared" si="21"/>
        <v>SAABb.ST N/A</v>
      </c>
      <c r="G204" t="str">
        <f t="shared" si="22"/>
        <v>BOL.ST N/A</v>
      </c>
      <c r="H204" t="str">
        <f t="shared" si="23"/>
        <v>Avg N/A</v>
      </c>
    </row>
    <row r="205" spans="1:8" x14ac:dyDescent="0.35">
      <c r="A205" t="s">
        <v>120</v>
      </c>
      <c r="B205" s="1" t="b">
        <f>ISNUMBER(LEFT(A205,4)+1-1)</f>
        <v>0</v>
      </c>
      <c r="C205" s="1" t="str">
        <f t="shared" si="24"/>
        <v>2025-11-12</v>
      </c>
      <c r="D205" t="str">
        <f t="shared" si="19"/>
        <v>HEXA‑B.ST N/A</v>
      </c>
      <c r="E205" t="str">
        <f t="shared" si="20"/>
        <v>SAABb.ST N/A</v>
      </c>
      <c r="F205" t="str">
        <f t="shared" si="21"/>
        <v>BOL.ST N/A</v>
      </c>
      <c r="G205" t="str">
        <f t="shared" si="22"/>
        <v>Avg N/A</v>
      </c>
      <c r="H205" t="str">
        <f t="shared" si="23"/>
        <v>S&amp;P500 +0.00%</v>
      </c>
    </row>
    <row r="206" spans="1:8" x14ac:dyDescent="0.35">
      <c r="A206" t="s">
        <v>121</v>
      </c>
      <c r="B206" s="1" t="b">
        <f>ISNUMBER(LEFT(A206,4)+1-1)</f>
        <v>0</v>
      </c>
      <c r="C206" s="1" t="str">
        <f t="shared" si="24"/>
        <v>2025-11-12</v>
      </c>
      <c r="D206" t="str">
        <f t="shared" si="19"/>
        <v>SAABb.ST N/A</v>
      </c>
      <c r="E206" t="str">
        <f t="shared" si="20"/>
        <v>BOL.ST N/A</v>
      </c>
      <c r="F206" t="str">
        <f t="shared" si="21"/>
        <v>Avg N/A</v>
      </c>
      <c r="G206" t="str">
        <f t="shared" si="22"/>
        <v>S&amp;P500 +0.00%</v>
      </c>
      <c r="H206">
        <f t="shared" si="23"/>
        <v>0</v>
      </c>
    </row>
    <row r="207" spans="1:8" x14ac:dyDescent="0.35">
      <c r="A207" t="s">
        <v>109</v>
      </c>
      <c r="B207" s="1" t="b">
        <f>ISNUMBER(LEFT(A207,4)+1-1)</f>
        <v>0</v>
      </c>
      <c r="C207" s="1" t="str">
        <f t="shared" si="24"/>
        <v>2025-11-12</v>
      </c>
      <c r="D207" t="str">
        <f t="shared" si="19"/>
        <v>BOL.ST N/A</v>
      </c>
      <c r="E207" t="str">
        <f t="shared" si="20"/>
        <v>Avg N/A</v>
      </c>
      <c r="F207" t="str">
        <f t="shared" si="21"/>
        <v>S&amp;P500 +0.00%</v>
      </c>
      <c r="G207">
        <f t="shared" si="22"/>
        <v>0</v>
      </c>
      <c r="H207" t="str">
        <f t="shared" si="23"/>
        <v>2025-11-13 - Thursday</v>
      </c>
    </row>
    <row r="208" spans="1:8" x14ac:dyDescent="0.35">
      <c r="A208" t="s">
        <v>122</v>
      </c>
      <c r="B208" s="1" t="b">
        <f>ISNUMBER(LEFT(A208,4)+1-1)</f>
        <v>0</v>
      </c>
      <c r="C208" s="1" t="str">
        <f t="shared" si="24"/>
        <v>2025-11-12</v>
      </c>
      <c r="D208" t="str">
        <f t="shared" si="19"/>
        <v>Avg N/A</v>
      </c>
      <c r="E208" t="str">
        <f t="shared" si="20"/>
        <v>S&amp;P500 +0.00%</v>
      </c>
      <c r="F208">
        <f t="shared" si="21"/>
        <v>0</v>
      </c>
      <c r="G208" t="str">
        <f t="shared" si="22"/>
        <v>2025-11-13 - Thursday</v>
      </c>
      <c r="H208" t="str">
        <f t="shared" si="23"/>
        <v>Recs:</v>
      </c>
    </row>
    <row r="209" spans="1:8" x14ac:dyDescent="0.35">
      <c r="A209" t="s">
        <v>123</v>
      </c>
      <c r="B209" s="1" t="b">
        <f>ISNUMBER(LEFT(A209,4)+1-1)</f>
        <v>0</v>
      </c>
      <c r="C209" s="1" t="str">
        <f t="shared" si="24"/>
        <v>2025-11-12</v>
      </c>
      <c r="D209" t="str">
        <f t="shared" si="19"/>
        <v>S&amp;P500 +0.00%</v>
      </c>
      <c r="E209">
        <f t="shared" si="20"/>
        <v>0</v>
      </c>
      <c r="F209" t="str">
        <f t="shared" si="21"/>
        <v>2025-11-13 - Thursday</v>
      </c>
      <c r="G209" t="str">
        <f t="shared" si="22"/>
        <v>Recs:</v>
      </c>
      <c r="H209" t="str">
        <f t="shared" si="23"/>
        <v>MSFT – Microsoft Corporation</v>
      </c>
    </row>
    <row r="210" spans="1:8" x14ac:dyDescent="0.35">
      <c r="A210" t="s">
        <v>9</v>
      </c>
      <c r="B210" s="1" t="b">
        <f>ISNUMBER(LEFT(A210,4)+1-1)</f>
        <v>0</v>
      </c>
      <c r="C210" s="1" t="str">
        <f t="shared" si="24"/>
        <v>2025-11-12</v>
      </c>
      <c r="D210">
        <f t="shared" si="19"/>
        <v>0</v>
      </c>
      <c r="E210" t="str">
        <f t="shared" si="20"/>
        <v>2025-11-13 - Thursday</v>
      </c>
      <c r="F210" t="str">
        <f t="shared" si="21"/>
        <v>Recs:</v>
      </c>
      <c r="G210" t="str">
        <f t="shared" si="22"/>
        <v>MSFT – Microsoft Corporation</v>
      </c>
      <c r="H210" t="str">
        <f t="shared" si="23"/>
        <v>NVDA – NVIDIA Corporation</v>
      </c>
    </row>
    <row r="211" spans="1:8" x14ac:dyDescent="0.35">
      <c r="A211" t="s">
        <v>124</v>
      </c>
      <c r="B211" s="1" t="b">
        <f>ISNUMBER(LEFT(A211,4)+1-1)</f>
        <v>0</v>
      </c>
      <c r="C211" s="1" t="str">
        <f t="shared" si="24"/>
        <v>2025-11-12</v>
      </c>
      <c r="D211" t="str">
        <f t="shared" si="19"/>
        <v>2025-11-13 - Thursday</v>
      </c>
      <c r="E211" t="str">
        <f t="shared" si="20"/>
        <v>Recs:</v>
      </c>
      <c r="F211" t="str">
        <f t="shared" si="21"/>
        <v>MSFT – Microsoft Corporation</v>
      </c>
      <c r="G211" t="str">
        <f t="shared" si="22"/>
        <v>NVDA – NVIDIA Corporation</v>
      </c>
      <c r="H211" t="str">
        <f t="shared" si="23"/>
        <v>SAAB B – Saab AB B</v>
      </c>
    </row>
    <row r="212" spans="1:8" x14ac:dyDescent="0.35">
      <c r="B212" s="1" t="b">
        <f>ISNUMBER(LEFT(A212,4)+1-1)</f>
        <v>0</v>
      </c>
      <c r="C212" s="1" t="str">
        <f t="shared" si="24"/>
        <v>2025-11-12</v>
      </c>
      <c r="D212" t="str">
        <f t="shared" si="19"/>
        <v>Recs:</v>
      </c>
      <c r="E212" t="str">
        <f t="shared" si="20"/>
        <v>MSFT – Microsoft Corporation</v>
      </c>
      <c r="F212" t="str">
        <f t="shared" si="21"/>
        <v>NVDA – NVIDIA Corporation</v>
      </c>
      <c r="G212" t="str">
        <f t="shared" si="22"/>
        <v>SAAB B – Saab AB B</v>
      </c>
      <c r="H212" t="str">
        <f t="shared" si="23"/>
        <v>BOL – Boliden AB</v>
      </c>
    </row>
    <row r="213" spans="1:8" x14ac:dyDescent="0.35">
      <c r="A213" s="2" t="s">
        <v>125</v>
      </c>
      <c r="B213" s="1" t="b">
        <f>ISNUMBER(LEFT(A213,4)+1-1)</f>
        <v>1</v>
      </c>
      <c r="C213" s="1" t="str">
        <f t="shared" si="24"/>
        <v>2025-11-13</v>
      </c>
      <c r="D213" t="str">
        <f t="shared" si="19"/>
        <v>MSFT – Microsoft Corporation</v>
      </c>
      <c r="E213" t="str">
        <f t="shared" si="20"/>
        <v>NVDA – NVIDIA Corporation</v>
      </c>
      <c r="F213" t="str">
        <f t="shared" si="21"/>
        <v>SAAB B – Saab AB B</v>
      </c>
      <c r="G213" t="str">
        <f t="shared" si="22"/>
        <v>BOL – Boliden AB</v>
      </c>
      <c r="H213" t="str">
        <f t="shared" si="23"/>
        <v>SKF – SKF AB</v>
      </c>
    </row>
    <row r="214" spans="1:8" x14ac:dyDescent="0.35">
      <c r="A214" t="s">
        <v>1</v>
      </c>
      <c r="B214" s="1" t="b">
        <f>ISNUMBER(LEFT(A214,4)+1-1)</f>
        <v>0</v>
      </c>
      <c r="C214" s="1" t="str">
        <f t="shared" si="24"/>
        <v>2025-11-13</v>
      </c>
      <c r="D214" t="str">
        <f t="shared" si="19"/>
        <v>NVDA – NVIDIA Corporation</v>
      </c>
      <c r="E214" t="str">
        <f t="shared" si="20"/>
        <v>SAAB B – Saab AB B</v>
      </c>
      <c r="F214" t="str">
        <f t="shared" si="21"/>
        <v>BOL – Boliden AB</v>
      </c>
      <c r="G214" t="str">
        <f t="shared" si="22"/>
        <v>SKF – SKF AB</v>
      </c>
      <c r="H214" t="str">
        <f t="shared" si="23"/>
        <v>Perf (prev recs):</v>
      </c>
    </row>
    <row r="215" spans="1:8" x14ac:dyDescent="0.35">
      <c r="A215" t="s">
        <v>126</v>
      </c>
      <c r="B215" s="1" t="b">
        <f>ISNUMBER(LEFT(A215,4)+1-1)</f>
        <v>0</v>
      </c>
      <c r="C215" s="1" t="str">
        <f t="shared" si="24"/>
        <v>2025-11-13</v>
      </c>
      <c r="D215" t="str">
        <f t="shared" si="19"/>
        <v>SAAB B – Saab AB B</v>
      </c>
      <c r="E215" t="str">
        <f t="shared" si="20"/>
        <v>BOL – Boliden AB</v>
      </c>
      <c r="F215" t="str">
        <f t="shared" si="21"/>
        <v>SKF – SKF AB</v>
      </c>
      <c r="G215" t="str">
        <f t="shared" si="22"/>
        <v>Perf (prev recs):</v>
      </c>
      <c r="H215" t="str">
        <f t="shared" si="23"/>
        <v>AZN +0.00%</v>
      </c>
    </row>
    <row r="216" spans="1:8" x14ac:dyDescent="0.35">
      <c r="A216" t="s">
        <v>24</v>
      </c>
      <c r="B216" s="1" t="b">
        <f>ISNUMBER(LEFT(A216,4)+1-1)</f>
        <v>0</v>
      </c>
      <c r="C216" s="1" t="str">
        <f t="shared" si="24"/>
        <v>2025-11-13</v>
      </c>
      <c r="D216" t="str">
        <f t="shared" si="19"/>
        <v>BOL – Boliden AB</v>
      </c>
      <c r="E216" t="str">
        <f t="shared" si="20"/>
        <v>SKF – SKF AB</v>
      </c>
      <c r="F216" t="str">
        <f t="shared" si="21"/>
        <v>Perf (prev recs):</v>
      </c>
      <c r="G216" t="str">
        <f t="shared" si="22"/>
        <v>AZN +0.00%</v>
      </c>
      <c r="H216" t="str">
        <f t="shared" si="23"/>
        <v>EQTAB.ST N/A</v>
      </c>
    </row>
    <row r="217" spans="1:8" x14ac:dyDescent="0.35">
      <c r="A217" t="s">
        <v>127</v>
      </c>
      <c r="B217" s="1" t="b">
        <f>ISNUMBER(LEFT(A217,4)+1-1)</f>
        <v>0</v>
      </c>
      <c r="C217" s="1" t="str">
        <f t="shared" si="24"/>
        <v>2025-11-13</v>
      </c>
      <c r="D217" t="str">
        <f t="shared" si="19"/>
        <v>SKF – SKF AB</v>
      </c>
      <c r="E217" t="str">
        <f t="shared" si="20"/>
        <v>Perf (prev recs):</v>
      </c>
      <c r="F217" t="str">
        <f t="shared" si="21"/>
        <v>AZN +0.00%</v>
      </c>
      <c r="G217" t="str">
        <f t="shared" si="22"/>
        <v>EQTAB.ST N/A</v>
      </c>
      <c r="H217" t="str">
        <f t="shared" si="23"/>
        <v>HEXA‑B.ST N/A</v>
      </c>
    </row>
    <row r="218" spans="1:8" x14ac:dyDescent="0.35">
      <c r="A218" t="s">
        <v>128</v>
      </c>
      <c r="B218" s="1" t="b">
        <f>ISNUMBER(LEFT(A218,4)+1-1)</f>
        <v>0</v>
      </c>
      <c r="C218" s="1" t="str">
        <f t="shared" si="24"/>
        <v>2025-11-13</v>
      </c>
      <c r="D218" t="str">
        <f t="shared" si="19"/>
        <v>Perf (prev recs):</v>
      </c>
      <c r="E218" t="str">
        <f t="shared" si="20"/>
        <v>AZN +0.00%</v>
      </c>
      <c r="F218" t="str">
        <f t="shared" si="21"/>
        <v>EQTAB.ST N/A</v>
      </c>
      <c r="G218" t="str">
        <f t="shared" si="22"/>
        <v>HEXA‑B.ST N/A</v>
      </c>
      <c r="H218" t="str">
        <f t="shared" si="23"/>
        <v>SAABb.ST N/A</v>
      </c>
    </row>
    <row r="219" spans="1:8" x14ac:dyDescent="0.35">
      <c r="A219" t="s">
        <v>129</v>
      </c>
      <c r="B219" s="1" t="b">
        <f>ISNUMBER(LEFT(A219,4)+1-1)</f>
        <v>0</v>
      </c>
      <c r="C219" s="1" t="str">
        <f t="shared" si="24"/>
        <v>2025-11-13</v>
      </c>
      <c r="D219" t="str">
        <f t="shared" si="19"/>
        <v>AZN +0.00%</v>
      </c>
      <c r="E219" t="str">
        <f t="shared" si="20"/>
        <v>EQTAB.ST N/A</v>
      </c>
      <c r="F219" t="str">
        <f t="shared" si="21"/>
        <v>HEXA‑B.ST N/A</v>
      </c>
      <c r="G219" t="str">
        <f t="shared" si="22"/>
        <v>SAABb.ST N/A</v>
      </c>
      <c r="H219" t="str">
        <f t="shared" si="23"/>
        <v>BOL.ST N/A</v>
      </c>
    </row>
    <row r="220" spans="1:8" x14ac:dyDescent="0.35">
      <c r="A220" t="s">
        <v>7</v>
      </c>
      <c r="B220" s="1" t="b">
        <f>ISNUMBER(LEFT(A220,4)+1-1)</f>
        <v>0</v>
      </c>
      <c r="C220" s="1" t="str">
        <f t="shared" si="24"/>
        <v>2025-11-13</v>
      </c>
      <c r="D220" t="str">
        <f t="shared" si="19"/>
        <v>EQTAB.ST N/A</v>
      </c>
      <c r="E220" t="str">
        <f t="shared" si="20"/>
        <v>HEXA‑B.ST N/A</v>
      </c>
      <c r="F220" t="str">
        <f t="shared" si="21"/>
        <v>SAABb.ST N/A</v>
      </c>
      <c r="G220" t="str">
        <f t="shared" si="22"/>
        <v>BOL.ST N/A</v>
      </c>
      <c r="H220" t="str">
        <f t="shared" si="23"/>
        <v>Avg N/A</v>
      </c>
    </row>
    <row r="221" spans="1:8" x14ac:dyDescent="0.35">
      <c r="A221" t="s">
        <v>120</v>
      </c>
      <c r="B221" s="1" t="b">
        <f>ISNUMBER(LEFT(A221,4)+1-1)</f>
        <v>0</v>
      </c>
      <c r="C221" s="1" t="str">
        <f t="shared" si="24"/>
        <v>2025-11-13</v>
      </c>
      <c r="D221" t="str">
        <f t="shared" si="19"/>
        <v>HEXA‑B.ST N/A</v>
      </c>
      <c r="E221" t="str">
        <f t="shared" si="20"/>
        <v>SAABb.ST N/A</v>
      </c>
      <c r="F221" t="str">
        <f t="shared" si="21"/>
        <v>BOL.ST N/A</v>
      </c>
      <c r="G221" t="str">
        <f t="shared" si="22"/>
        <v>Avg N/A</v>
      </c>
      <c r="H221" t="str">
        <f t="shared" si="23"/>
        <v>S&amp;P500 +0.00%</v>
      </c>
    </row>
    <row r="222" spans="1:8" x14ac:dyDescent="0.35">
      <c r="A222" t="s">
        <v>121</v>
      </c>
      <c r="B222" s="1" t="b">
        <f>ISNUMBER(LEFT(A222,4)+1-1)</f>
        <v>0</v>
      </c>
      <c r="C222" s="1" t="str">
        <f t="shared" si="24"/>
        <v>2025-11-13</v>
      </c>
      <c r="D222" t="str">
        <f t="shared" si="19"/>
        <v>SAABb.ST N/A</v>
      </c>
      <c r="E222" t="str">
        <f t="shared" si="20"/>
        <v>BOL.ST N/A</v>
      </c>
      <c r="F222" t="str">
        <f t="shared" si="21"/>
        <v>Avg N/A</v>
      </c>
      <c r="G222" t="str">
        <f t="shared" si="22"/>
        <v>S&amp;P500 +0.00%</v>
      </c>
      <c r="H222">
        <f t="shared" si="23"/>
        <v>0</v>
      </c>
    </row>
    <row r="223" spans="1:8" x14ac:dyDescent="0.35">
      <c r="A223" t="s">
        <v>109</v>
      </c>
      <c r="B223" s="1" t="b">
        <f>ISNUMBER(LEFT(A223,4)+1-1)</f>
        <v>0</v>
      </c>
      <c r="C223" s="1" t="str">
        <f t="shared" si="24"/>
        <v>2025-11-13</v>
      </c>
      <c r="D223" t="str">
        <f t="shared" si="19"/>
        <v>BOL.ST N/A</v>
      </c>
      <c r="E223" t="str">
        <f t="shared" si="20"/>
        <v>Avg N/A</v>
      </c>
      <c r="F223" t="str">
        <f t="shared" si="21"/>
        <v>S&amp;P500 +0.00%</v>
      </c>
      <c r="G223">
        <f t="shared" si="22"/>
        <v>0</v>
      </c>
      <c r="H223" t="str">
        <f t="shared" si="23"/>
        <v>2025-11-14 - Friday</v>
      </c>
    </row>
    <row r="224" spans="1:8" x14ac:dyDescent="0.35">
      <c r="A224" t="s">
        <v>122</v>
      </c>
      <c r="B224" s="1" t="b">
        <f>ISNUMBER(LEFT(A224,4)+1-1)</f>
        <v>0</v>
      </c>
      <c r="C224" s="1" t="str">
        <f t="shared" si="24"/>
        <v>2025-11-13</v>
      </c>
      <c r="D224" t="str">
        <f t="shared" si="19"/>
        <v>Avg N/A</v>
      </c>
      <c r="E224" t="str">
        <f t="shared" si="20"/>
        <v>S&amp;P500 +0.00%</v>
      </c>
      <c r="F224">
        <f t="shared" si="21"/>
        <v>0</v>
      </c>
      <c r="G224" t="str">
        <f t="shared" si="22"/>
        <v>2025-11-14 - Friday</v>
      </c>
      <c r="H224" t="str">
        <f t="shared" si="23"/>
        <v>Recs:</v>
      </c>
    </row>
    <row r="225" spans="1:8" x14ac:dyDescent="0.35">
      <c r="A225" t="s">
        <v>123</v>
      </c>
      <c r="B225" s="1" t="b">
        <f>ISNUMBER(LEFT(A225,4)+1-1)</f>
        <v>0</v>
      </c>
      <c r="C225" s="1" t="str">
        <f t="shared" si="24"/>
        <v>2025-11-13</v>
      </c>
      <c r="D225" t="str">
        <f t="shared" si="19"/>
        <v>S&amp;P500 +0.00%</v>
      </c>
      <c r="E225">
        <f t="shared" si="20"/>
        <v>0</v>
      </c>
      <c r="F225" t="str">
        <f t="shared" si="21"/>
        <v>2025-11-14 - Friday</v>
      </c>
      <c r="G225" t="str">
        <f t="shared" si="22"/>
        <v>Recs:</v>
      </c>
      <c r="H225" t="str">
        <f t="shared" si="23"/>
        <v>ERIC – Telefonaktiebolaget LM Ericsson</v>
      </c>
    </row>
    <row r="226" spans="1:8" x14ac:dyDescent="0.35">
      <c r="A226" t="s">
        <v>9</v>
      </c>
      <c r="B226" s="1" t="b">
        <f>ISNUMBER(LEFT(A226,4)+1-1)</f>
        <v>0</v>
      </c>
      <c r="C226" s="1" t="str">
        <f t="shared" si="24"/>
        <v>2025-11-13</v>
      </c>
      <c r="D226">
        <f t="shared" si="19"/>
        <v>0</v>
      </c>
      <c r="E226" t="str">
        <f t="shared" si="20"/>
        <v>2025-11-14 - Friday</v>
      </c>
      <c r="F226" t="str">
        <f t="shared" si="21"/>
        <v>Recs:</v>
      </c>
      <c r="G226" t="str">
        <f t="shared" si="22"/>
        <v>ERIC – Telefonaktiebolaget LM Ericsson</v>
      </c>
      <c r="H226" t="str">
        <f t="shared" si="23"/>
        <v>MSFT – Microsoft Corporation</v>
      </c>
    </row>
    <row r="227" spans="1:8" x14ac:dyDescent="0.35">
      <c r="A227" t="s">
        <v>124</v>
      </c>
      <c r="B227" s="1" t="b">
        <f>ISNUMBER(LEFT(A227,4)+1-1)</f>
        <v>0</v>
      </c>
      <c r="C227" s="1" t="str">
        <f t="shared" si="24"/>
        <v>2025-11-13</v>
      </c>
      <c r="D227" t="str">
        <f t="shared" si="19"/>
        <v>2025-11-14 - Friday</v>
      </c>
      <c r="E227" t="str">
        <f t="shared" si="20"/>
        <v>Recs:</v>
      </c>
      <c r="F227" t="str">
        <f t="shared" si="21"/>
        <v>ERIC – Telefonaktiebolaget LM Ericsson</v>
      </c>
      <c r="G227" t="str">
        <f t="shared" si="22"/>
        <v>MSFT – Microsoft Corporation</v>
      </c>
      <c r="H227" t="str">
        <f t="shared" si="23"/>
        <v>NVDA – NVIDIA Corporation</v>
      </c>
    </row>
    <row r="228" spans="1:8" x14ac:dyDescent="0.35">
      <c r="B228" s="1" t="b">
        <f>ISNUMBER(LEFT(A228,4)+1-1)</f>
        <v>0</v>
      </c>
      <c r="C228" s="1" t="str">
        <f t="shared" si="24"/>
        <v>2025-11-13</v>
      </c>
      <c r="D228" t="str">
        <f t="shared" si="19"/>
        <v>Recs:</v>
      </c>
      <c r="E228" t="str">
        <f t="shared" si="20"/>
        <v>ERIC – Telefonaktiebolaget LM Ericsson</v>
      </c>
      <c r="F228" t="str">
        <f t="shared" si="21"/>
        <v>MSFT – Microsoft Corporation</v>
      </c>
      <c r="G228" t="str">
        <f t="shared" si="22"/>
        <v>NVDA – NVIDIA Corporation</v>
      </c>
      <c r="H228" t="str">
        <f t="shared" si="23"/>
        <v>VOLV‑B.ST – AB Volvo B</v>
      </c>
    </row>
    <row r="229" spans="1:8" x14ac:dyDescent="0.35">
      <c r="A229" s="2" t="s">
        <v>130</v>
      </c>
      <c r="B229" s="1" t="b">
        <f>ISNUMBER(LEFT(A229,4)+1-1)</f>
        <v>1</v>
      </c>
      <c r="C229" s="1" t="str">
        <f t="shared" si="24"/>
        <v>2025-11-14</v>
      </c>
      <c r="D229" t="str">
        <f t="shared" si="19"/>
        <v>ERIC – Telefonaktiebolaget LM Ericsson</v>
      </c>
      <c r="E229" t="str">
        <f t="shared" si="20"/>
        <v>MSFT – Microsoft Corporation</v>
      </c>
      <c r="F229" t="str">
        <f t="shared" si="21"/>
        <v>NVDA – NVIDIA Corporation</v>
      </c>
      <c r="G229" t="str">
        <f t="shared" si="22"/>
        <v>VOLV‑B.ST – AB Volvo B</v>
      </c>
      <c r="H229" t="str">
        <f t="shared" si="23"/>
        <v>BOL.ST – Boliden AB</v>
      </c>
    </row>
    <row r="230" spans="1:8" x14ac:dyDescent="0.35">
      <c r="A230" t="s">
        <v>1</v>
      </c>
      <c r="B230" s="1" t="b">
        <f>ISNUMBER(LEFT(A230,4)+1-1)</f>
        <v>0</v>
      </c>
      <c r="C230" s="1" t="str">
        <f t="shared" si="24"/>
        <v>2025-11-14</v>
      </c>
      <c r="D230" t="str">
        <f t="shared" si="19"/>
        <v>MSFT – Microsoft Corporation</v>
      </c>
      <c r="E230" t="str">
        <f t="shared" si="20"/>
        <v>NVDA – NVIDIA Corporation</v>
      </c>
      <c r="F230" t="str">
        <f t="shared" si="21"/>
        <v>VOLV‑B.ST – AB Volvo B</v>
      </c>
      <c r="G230" t="str">
        <f t="shared" si="22"/>
        <v>BOL.ST – Boliden AB</v>
      </c>
      <c r="H230" t="str">
        <f t="shared" si="23"/>
        <v>Perf (prev recs):</v>
      </c>
    </row>
    <row r="231" spans="1:8" x14ac:dyDescent="0.35">
      <c r="A231" t="s">
        <v>131</v>
      </c>
      <c r="B231" s="1" t="b">
        <f>ISNUMBER(LEFT(A231,4)+1-1)</f>
        <v>0</v>
      </c>
      <c r="C231" s="1" t="str">
        <f t="shared" si="24"/>
        <v>2025-11-14</v>
      </c>
      <c r="D231" t="str">
        <f t="shared" si="19"/>
        <v>NVDA – NVIDIA Corporation</v>
      </c>
      <c r="E231" t="str">
        <f t="shared" si="20"/>
        <v>VOLV‑B.ST – AB Volvo B</v>
      </c>
      <c r="F231" t="str">
        <f t="shared" si="21"/>
        <v>BOL.ST – Boliden AB</v>
      </c>
      <c r="G231" t="str">
        <f t="shared" si="22"/>
        <v>Perf (prev recs):</v>
      </c>
      <c r="H231" t="str">
        <f t="shared" si="23"/>
        <v>AZN +0.00%</v>
      </c>
    </row>
    <row r="232" spans="1:8" x14ac:dyDescent="0.35">
      <c r="A232" t="s">
        <v>126</v>
      </c>
      <c r="B232" s="1" t="b">
        <f>ISNUMBER(LEFT(A232,4)+1-1)</f>
        <v>0</v>
      </c>
      <c r="C232" s="1" t="str">
        <f t="shared" si="24"/>
        <v>2025-11-14</v>
      </c>
      <c r="D232" t="str">
        <f t="shared" si="19"/>
        <v>VOLV‑B.ST – AB Volvo B</v>
      </c>
      <c r="E232" t="str">
        <f t="shared" si="20"/>
        <v>BOL.ST – Boliden AB</v>
      </c>
      <c r="F232" t="str">
        <f t="shared" si="21"/>
        <v>Perf (prev recs):</v>
      </c>
      <c r="G232" t="str">
        <f t="shared" si="22"/>
        <v>AZN +0.00%</v>
      </c>
      <c r="H232" t="str">
        <f t="shared" si="23"/>
        <v>EQTAB.ST N/A</v>
      </c>
    </row>
    <row r="233" spans="1:8" x14ac:dyDescent="0.35">
      <c r="A233" t="s">
        <v>24</v>
      </c>
      <c r="B233" s="1" t="b">
        <f>ISNUMBER(LEFT(A233,4)+1-1)</f>
        <v>0</v>
      </c>
      <c r="C233" s="1" t="str">
        <f t="shared" si="24"/>
        <v>2025-11-14</v>
      </c>
      <c r="D233" t="str">
        <f t="shared" si="19"/>
        <v>BOL.ST – Boliden AB</v>
      </c>
      <c r="E233" t="str">
        <f t="shared" si="20"/>
        <v>Perf (prev recs):</v>
      </c>
      <c r="F233" t="str">
        <f t="shared" si="21"/>
        <v>AZN +0.00%</v>
      </c>
      <c r="G233" t="str">
        <f t="shared" si="22"/>
        <v>EQTAB.ST N/A</v>
      </c>
      <c r="H233" t="str">
        <f t="shared" si="23"/>
        <v>HEXA‑B.ST N/A</v>
      </c>
    </row>
    <row r="234" spans="1:8" x14ac:dyDescent="0.35">
      <c r="A234" t="s">
        <v>132</v>
      </c>
      <c r="B234" s="1" t="b">
        <f>ISNUMBER(LEFT(A234,4)+1-1)</f>
        <v>0</v>
      </c>
      <c r="C234" s="1" t="str">
        <f t="shared" si="24"/>
        <v>2025-11-14</v>
      </c>
      <c r="D234" t="str">
        <f t="shared" si="19"/>
        <v>Perf (prev recs):</v>
      </c>
      <c r="E234" t="str">
        <f t="shared" si="20"/>
        <v>AZN +0.00%</v>
      </c>
      <c r="F234" t="str">
        <f t="shared" si="21"/>
        <v>EQTAB.ST N/A</v>
      </c>
      <c r="G234" t="str">
        <f t="shared" si="22"/>
        <v>HEXA‑B.ST N/A</v>
      </c>
      <c r="H234" t="str">
        <f t="shared" si="23"/>
        <v>SAABb.ST N/A</v>
      </c>
    </row>
    <row r="235" spans="1:8" x14ac:dyDescent="0.35">
      <c r="A235" t="s">
        <v>113</v>
      </c>
      <c r="B235" s="1" t="b">
        <f>ISNUMBER(LEFT(A235,4)+1-1)</f>
        <v>0</v>
      </c>
      <c r="C235" s="1" t="str">
        <f t="shared" si="24"/>
        <v>2025-11-14</v>
      </c>
      <c r="D235" t="str">
        <f t="shared" si="19"/>
        <v>AZN +0.00%</v>
      </c>
      <c r="E235" t="str">
        <f t="shared" si="20"/>
        <v>EQTAB.ST N/A</v>
      </c>
      <c r="F235" t="str">
        <f t="shared" si="21"/>
        <v>HEXA‑B.ST N/A</v>
      </c>
      <c r="G235" t="str">
        <f t="shared" si="22"/>
        <v>SAABb.ST N/A</v>
      </c>
      <c r="H235" t="str">
        <f t="shared" si="23"/>
        <v>BOL.ST N/A</v>
      </c>
    </row>
    <row r="236" spans="1:8" x14ac:dyDescent="0.35">
      <c r="A236" t="s">
        <v>7</v>
      </c>
      <c r="B236" s="1" t="b">
        <f>ISNUMBER(LEFT(A236,4)+1-1)</f>
        <v>0</v>
      </c>
      <c r="C236" s="1" t="str">
        <f t="shared" si="24"/>
        <v>2025-11-14</v>
      </c>
      <c r="D236" t="str">
        <f t="shared" si="19"/>
        <v>EQTAB.ST N/A</v>
      </c>
      <c r="E236" t="str">
        <f t="shared" si="20"/>
        <v>HEXA‑B.ST N/A</v>
      </c>
      <c r="F236" t="str">
        <f t="shared" si="21"/>
        <v>SAABb.ST N/A</v>
      </c>
      <c r="G236" t="str">
        <f t="shared" si="22"/>
        <v>BOL.ST N/A</v>
      </c>
      <c r="H236" t="str">
        <f t="shared" si="23"/>
        <v>Avg N/A</v>
      </c>
    </row>
    <row r="237" spans="1:8" x14ac:dyDescent="0.35">
      <c r="A237" t="s">
        <v>120</v>
      </c>
      <c r="B237" s="1" t="b">
        <f>ISNUMBER(LEFT(A237,4)+1-1)</f>
        <v>0</v>
      </c>
      <c r="C237" s="1" t="str">
        <f t="shared" si="24"/>
        <v>2025-11-14</v>
      </c>
      <c r="D237" t="str">
        <f t="shared" si="19"/>
        <v>HEXA‑B.ST N/A</v>
      </c>
      <c r="E237" t="str">
        <f t="shared" si="20"/>
        <v>SAABb.ST N/A</v>
      </c>
      <c r="F237" t="str">
        <f t="shared" si="21"/>
        <v>BOL.ST N/A</v>
      </c>
      <c r="G237" t="str">
        <f t="shared" si="22"/>
        <v>Avg N/A</v>
      </c>
      <c r="H237" t="str">
        <f t="shared" si="23"/>
        <v>S&amp;P500 +0.00%</v>
      </c>
    </row>
    <row r="238" spans="1:8" x14ac:dyDescent="0.35">
      <c r="A238" t="s">
        <v>121</v>
      </c>
      <c r="B238" s="1" t="b">
        <f>ISNUMBER(LEFT(A238,4)+1-1)</f>
        <v>0</v>
      </c>
      <c r="C238" s="1" t="str">
        <f t="shared" si="24"/>
        <v>2025-11-14</v>
      </c>
      <c r="D238" t="str">
        <f t="shared" si="19"/>
        <v>SAABb.ST N/A</v>
      </c>
      <c r="E238" t="str">
        <f t="shared" si="20"/>
        <v>BOL.ST N/A</v>
      </c>
      <c r="F238" t="str">
        <f t="shared" si="21"/>
        <v>Avg N/A</v>
      </c>
      <c r="G238" t="str">
        <f t="shared" si="22"/>
        <v>S&amp;P500 +0.00%</v>
      </c>
      <c r="H238">
        <f t="shared" si="23"/>
        <v>0</v>
      </c>
    </row>
    <row r="239" spans="1:8" x14ac:dyDescent="0.35">
      <c r="A239" t="s">
        <v>109</v>
      </c>
      <c r="B239" s="1" t="b">
        <f>ISNUMBER(LEFT(A239,4)+1-1)</f>
        <v>0</v>
      </c>
      <c r="C239" s="1" t="str">
        <f t="shared" si="24"/>
        <v>2025-11-14</v>
      </c>
      <c r="D239" t="str">
        <f t="shared" si="19"/>
        <v>BOL.ST N/A</v>
      </c>
      <c r="E239" t="str">
        <f t="shared" si="20"/>
        <v>Avg N/A</v>
      </c>
      <c r="F239" t="str">
        <f t="shared" si="21"/>
        <v>S&amp;P500 +0.00%</v>
      </c>
      <c r="G239">
        <f t="shared" si="22"/>
        <v>0</v>
      </c>
      <c r="H239" t="str">
        <f t="shared" si="23"/>
        <v>2025-11-15 - Saturday</v>
      </c>
    </row>
    <row r="240" spans="1:8" x14ac:dyDescent="0.35">
      <c r="A240" t="s">
        <v>122</v>
      </c>
      <c r="B240" s="1" t="b">
        <f>ISNUMBER(LEFT(A240,4)+1-1)</f>
        <v>0</v>
      </c>
      <c r="C240" s="1" t="str">
        <f t="shared" si="24"/>
        <v>2025-11-14</v>
      </c>
      <c r="D240" t="str">
        <f t="shared" si="19"/>
        <v>Avg N/A</v>
      </c>
      <c r="E240" t="str">
        <f t="shared" si="20"/>
        <v>S&amp;P500 +0.00%</v>
      </c>
      <c r="F240">
        <f t="shared" si="21"/>
        <v>0</v>
      </c>
      <c r="G240" t="str">
        <f t="shared" si="22"/>
        <v>2025-11-15 - Saturday</v>
      </c>
      <c r="H240" t="str">
        <f t="shared" si="23"/>
        <v>Recs:</v>
      </c>
    </row>
    <row r="241" spans="1:8" x14ac:dyDescent="0.35">
      <c r="A241" t="s">
        <v>123</v>
      </c>
      <c r="B241" s="1" t="b">
        <f>ISNUMBER(LEFT(A241,4)+1-1)</f>
        <v>0</v>
      </c>
      <c r="C241" s="1" t="str">
        <f t="shared" si="24"/>
        <v>2025-11-14</v>
      </c>
      <c r="D241" t="str">
        <f t="shared" si="19"/>
        <v>S&amp;P500 +0.00%</v>
      </c>
      <c r="E241">
        <f t="shared" si="20"/>
        <v>0</v>
      </c>
      <c r="F241" t="str">
        <f t="shared" si="21"/>
        <v>2025-11-15 - Saturday</v>
      </c>
      <c r="G241" t="str">
        <f t="shared" si="22"/>
        <v>Recs:</v>
      </c>
      <c r="H241" t="str">
        <f t="shared" si="23"/>
        <v>MSFT – Microsoft Corporation</v>
      </c>
    </row>
    <row r="242" spans="1:8" x14ac:dyDescent="0.35">
      <c r="A242" t="s">
        <v>9</v>
      </c>
      <c r="B242" s="1" t="b">
        <f>ISNUMBER(LEFT(A242,4)+1-1)</f>
        <v>0</v>
      </c>
      <c r="C242" s="1" t="str">
        <f t="shared" si="24"/>
        <v>2025-11-14</v>
      </c>
      <c r="D242">
        <f t="shared" si="19"/>
        <v>0</v>
      </c>
      <c r="E242" t="str">
        <f t="shared" si="20"/>
        <v>2025-11-15 - Saturday</v>
      </c>
      <c r="F242" t="str">
        <f t="shared" si="21"/>
        <v>Recs:</v>
      </c>
      <c r="G242" t="str">
        <f t="shared" si="22"/>
        <v>MSFT – Microsoft Corporation</v>
      </c>
      <c r="H242" t="str">
        <f t="shared" si="23"/>
        <v>NVDA – NVIDIA Corporation</v>
      </c>
    </row>
    <row r="243" spans="1:8" x14ac:dyDescent="0.35">
      <c r="A243" t="s">
        <v>124</v>
      </c>
      <c r="B243" s="1" t="b">
        <f>ISNUMBER(LEFT(A243,4)+1-1)</f>
        <v>0</v>
      </c>
      <c r="C243" s="1" t="str">
        <f t="shared" si="24"/>
        <v>2025-11-14</v>
      </c>
      <c r="D243" t="str">
        <f t="shared" si="19"/>
        <v>2025-11-15 - Saturday</v>
      </c>
      <c r="E243" t="str">
        <f t="shared" si="20"/>
        <v>Recs:</v>
      </c>
      <c r="F243" t="str">
        <f t="shared" si="21"/>
        <v>MSFT – Microsoft Corporation</v>
      </c>
      <c r="G243" t="str">
        <f t="shared" si="22"/>
        <v>NVDA – NVIDIA Corporation</v>
      </c>
      <c r="H243" t="str">
        <f t="shared" si="23"/>
        <v>APM – APM Terminals</v>
      </c>
    </row>
    <row r="244" spans="1:8" x14ac:dyDescent="0.35">
      <c r="B244" s="1" t="b">
        <f>ISNUMBER(LEFT(A244,4)+1-1)</f>
        <v>0</v>
      </c>
      <c r="C244" s="1" t="str">
        <f t="shared" si="24"/>
        <v>2025-11-14</v>
      </c>
      <c r="D244" t="str">
        <f t="shared" si="19"/>
        <v>Recs:</v>
      </c>
      <c r="E244" t="str">
        <f t="shared" si="20"/>
        <v>MSFT – Microsoft Corporation</v>
      </c>
      <c r="F244" t="str">
        <f t="shared" si="21"/>
        <v>NVDA – NVIDIA Corporation</v>
      </c>
      <c r="G244" t="str">
        <f t="shared" si="22"/>
        <v>APM – APM Terminals</v>
      </c>
      <c r="H244" t="str">
        <f t="shared" si="23"/>
        <v>LACX – LACX Mining Corp</v>
      </c>
    </row>
    <row r="245" spans="1:8" x14ac:dyDescent="0.35">
      <c r="A245" s="2" t="s">
        <v>133</v>
      </c>
      <c r="B245" s="1" t="b">
        <f>ISNUMBER(LEFT(A245,4)+1-1)</f>
        <v>1</v>
      </c>
      <c r="C245" s="1" t="str">
        <f t="shared" si="24"/>
        <v>2025-11-15</v>
      </c>
      <c r="D245" t="str">
        <f t="shared" si="19"/>
        <v>MSFT – Microsoft Corporation</v>
      </c>
      <c r="E245" t="str">
        <f t="shared" si="20"/>
        <v>NVDA – NVIDIA Corporation</v>
      </c>
      <c r="F245" t="str">
        <f t="shared" si="21"/>
        <v>APM – APM Terminals</v>
      </c>
      <c r="G245" t="str">
        <f t="shared" si="22"/>
        <v>LACX – LACX Mining Corp</v>
      </c>
      <c r="H245" t="str">
        <f t="shared" si="23"/>
        <v>KBH – KB Home</v>
      </c>
    </row>
    <row r="246" spans="1:8" x14ac:dyDescent="0.35">
      <c r="A246" t="s">
        <v>1</v>
      </c>
      <c r="B246" s="1" t="b">
        <f>ISNUMBER(LEFT(A246,4)+1-1)</f>
        <v>0</v>
      </c>
      <c r="C246" s="1" t="str">
        <f t="shared" si="24"/>
        <v>2025-11-15</v>
      </c>
      <c r="D246" t="str">
        <f t="shared" si="19"/>
        <v>NVDA – NVIDIA Corporation</v>
      </c>
      <c r="E246" t="str">
        <f t="shared" si="20"/>
        <v>APM – APM Terminals</v>
      </c>
      <c r="F246" t="str">
        <f t="shared" si="21"/>
        <v>LACX – LACX Mining Corp</v>
      </c>
      <c r="G246" t="str">
        <f t="shared" si="22"/>
        <v>KBH – KB Home</v>
      </c>
      <c r="H246" t="str">
        <f t="shared" si="23"/>
        <v>Perf (prev recs):</v>
      </c>
    </row>
    <row r="247" spans="1:8" x14ac:dyDescent="0.35">
      <c r="A247" t="s">
        <v>126</v>
      </c>
      <c r="B247" s="1" t="b">
        <f>ISNUMBER(LEFT(A247,4)+1-1)</f>
        <v>0</v>
      </c>
      <c r="C247" s="1" t="str">
        <f t="shared" si="24"/>
        <v>2025-11-15</v>
      </c>
      <c r="D247" t="str">
        <f t="shared" si="19"/>
        <v>APM – APM Terminals</v>
      </c>
      <c r="E247" t="str">
        <f t="shared" si="20"/>
        <v>LACX – LACX Mining Corp</v>
      </c>
      <c r="F247" t="str">
        <f t="shared" si="21"/>
        <v>KBH – KB Home</v>
      </c>
      <c r="G247" t="str">
        <f t="shared" si="22"/>
        <v>Perf (prev recs):</v>
      </c>
      <c r="H247" t="str">
        <f t="shared" si="23"/>
        <v>ERIC +0.00%</v>
      </c>
    </row>
    <row r="248" spans="1:8" x14ac:dyDescent="0.35">
      <c r="A248" t="s">
        <v>24</v>
      </c>
      <c r="B248" s="1" t="b">
        <f>ISNUMBER(LEFT(A248,4)+1-1)</f>
        <v>0</v>
      </c>
      <c r="C248" s="1" t="str">
        <f t="shared" si="24"/>
        <v>2025-11-15</v>
      </c>
      <c r="D248" t="str">
        <f t="shared" si="19"/>
        <v>LACX – LACX Mining Corp</v>
      </c>
      <c r="E248" t="str">
        <f t="shared" si="20"/>
        <v>KBH – KB Home</v>
      </c>
      <c r="F248" t="str">
        <f t="shared" si="21"/>
        <v>Perf (prev recs):</v>
      </c>
      <c r="G248" t="str">
        <f t="shared" si="22"/>
        <v>ERIC +0.00%</v>
      </c>
      <c r="H248" t="str">
        <f t="shared" si="23"/>
        <v>MSFT +1.37%</v>
      </c>
    </row>
    <row r="249" spans="1:8" x14ac:dyDescent="0.35">
      <c r="A249" t="s">
        <v>134</v>
      </c>
      <c r="B249" s="1" t="b">
        <f>ISNUMBER(LEFT(A249,4)+1-1)</f>
        <v>0</v>
      </c>
      <c r="C249" s="1" t="str">
        <f t="shared" si="24"/>
        <v>2025-11-15</v>
      </c>
      <c r="D249" t="str">
        <f t="shared" si="19"/>
        <v>KBH – KB Home</v>
      </c>
      <c r="E249" t="str">
        <f t="shared" si="20"/>
        <v>Perf (prev recs):</v>
      </c>
      <c r="F249" t="str">
        <f t="shared" si="21"/>
        <v>ERIC +0.00%</v>
      </c>
      <c r="G249" t="str">
        <f t="shared" si="22"/>
        <v>MSFT +1.37%</v>
      </c>
      <c r="H249" t="str">
        <f t="shared" si="23"/>
        <v>NVDA +1.77%</v>
      </c>
    </row>
    <row r="250" spans="1:8" x14ac:dyDescent="0.35">
      <c r="A250" t="s">
        <v>135</v>
      </c>
      <c r="B250" s="1" t="b">
        <f>ISNUMBER(LEFT(A250,4)+1-1)</f>
        <v>0</v>
      </c>
      <c r="C250" s="1" t="str">
        <f t="shared" si="24"/>
        <v>2025-11-15</v>
      </c>
      <c r="D250" t="str">
        <f t="shared" si="19"/>
        <v>Perf (prev recs):</v>
      </c>
      <c r="E250" t="str">
        <f t="shared" si="20"/>
        <v>ERIC +0.00%</v>
      </c>
      <c r="F250" t="str">
        <f t="shared" si="21"/>
        <v>MSFT +1.37%</v>
      </c>
      <c r="G250" t="str">
        <f t="shared" si="22"/>
        <v>NVDA +1.77%</v>
      </c>
      <c r="H250" t="str">
        <f t="shared" si="23"/>
        <v>VOLV‑B.ST N/A</v>
      </c>
    </row>
    <row r="251" spans="1:8" x14ac:dyDescent="0.35">
      <c r="A251" t="s">
        <v>136</v>
      </c>
      <c r="B251" s="1" t="b">
        <f>ISNUMBER(LEFT(A251,4)+1-1)</f>
        <v>0</v>
      </c>
      <c r="C251" s="1" t="str">
        <f t="shared" si="24"/>
        <v>2025-11-15</v>
      </c>
      <c r="D251" t="str">
        <f t="shared" si="19"/>
        <v>ERIC +0.00%</v>
      </c>
      <c r="E251" t="str">
        <f t="shared" si="20"/>
        <v>MSFT +1.37%</v>
      </c>
      <c r="F251" t="str">
        <f t="shared" si="21"/>
        <v>NVDA +1.77%</v>
      </c>
      <c r="G251" t="str">
        <f t="shared" si="22"/>
        <v>VOLV‑B.ST N/A</v>
      </c>
      <c r="H251" t="str">
        <f t="shared" si="23"/>
        <v>BOL.ST N/A</v>
      </c>
    </row>
    <row r="252" spans="1:8" x14ac:dyDescent="0.35">
      <c r="A252" t="s">
        <v>7</v>
      </c>
      <c r="B252" s="1" t="b">
        <f>ISNUMBER(LEFT(A252,4)+1-1)</f>
        <v>0</v>
      </c>
      <c r="C252" s="1" t="str">
        <f t="shared" si="24"/>
        <v>2025-11-15</v>
      </c>
      <c r="D252" t="str">
        <f t="shared" si="19"/>
        <v>MSFT +1.37%</v>
      </c>
      <c r="E252" t="str">
        <f t="shared" si="20"/>
        <v>NVDA +1.77%</v>
      </c>
      <c r="F252" t="str">
        <f t="shared" si="21"/>
        <v>VOLV‑B.ST N/A</v>
      </c>
      <c r="G252" t="str">
        <f t="shared" si="22"/>
        <v>BOL.ST N/A</v>
      </c>
      <c r="H252" t="str">
        <f t="shared" si="23"/>
        <v>Avg N/A</v>
      </c>
    </row>
    <row r="253" spans="1:8" x14ac:dyDescent="0.35">
      <c r="A253" t="s">
        <v>137</v>
      </c>
      <c r="B253" s="1" t="b">
        <f>ISNUMBER(LEFT(A253,4)+1-1)</f>
        <v>0</v>
      </c>
      <c r="C253" s="1" t="str">
        <f t="shared" si="24"/>
        <v>2025-11-15</v>
      </c>
      <c r="D253" t="str">
        <f t="shared" si="19"/>
        <v>NVDA +1.77%</v>
      </c>
      <c r="E253" t="str">
        <f t="shared" si="20"/>
        <v>VOLV‑B.ST N/A</v>
      </c>
      <c r="F253" t="str">
        <f t="shared" si="21"/>
        <v>BOL.ST N/A</v>
      </c>
      <c r="G253" t="str">
        <f t="shared" si="22"/>
        <v>Avg N/A</v>
      </c>
      <c r="H253" t="str">
        <f t="shared" si="23"/>
        <v>S&amp;P500 -1.70%</v>
      </c>
    </row>
    <row r="254" spans="1:8" x14ac:dyDescent="0.35">
      <c r="A254" t="s">
        <v>138</v>
      </c>
      <c r="B254" s="1" t="b">
        <f>ISNUMBER(LEFT(A254,4)+1-1)</f>
        <v>0</v>
      </c>
      <c r="C254" s="1" t="str">
        <f t="shared" si="24"/>
        <v>2025-11-15</v>
      </c>
      <c r="D254" t="str">
        <f t="shared" si="19"/>
        <v>VOLV‑B.ST N/A</v>
      </c>
      <c r="E254" t="str">
        <f t="shared" si="20"/>
        <v>BOL.ST N/A</v>
      </c>
      <c r="F254" t="str">
        <f t="shared" si="21"/>
        <v>Avg N/A</v>
      </c>
      <c r="G254" t="str">
        <f t="shared" si="22"/>
        <v>S&amp;P500 -1.70%</v>
      </c>
      <c r="H254">
        <f t="shared" si="23"/>
        <v>0</v>
      </c>
    </row>
    <row r="255" spans="1:8" x14ac:dyDescent="0.35">
      <c r="A255" t="s">
        <v>139</v>
      </c>
      <c r="B255" s="1" t="b">
        <f>ISNUMBER(LEFT(A255,4)+1-1)</f>
        <v>0</v>
      </c>
      <c r="C255" s="1" t="str">
        <f t="shared" si="24"/>
        <v>2025-11-15</v>
      </c>
      <c r="D255" t="str">
        <f t="shared" si="19"/>
        <v>BOL.ST N/A</v>
      </c>
      <c r="E255" t="str">
        <f t="shared" si="20"/>
        <v>Avg N/A</v>
      </c>
      <c r="F255" t="str">
        <f t="shared" si="21"/>
        <v>S&amp;P500 -1.70%</v>
      </c>
      <c r="G255">
        <f t="shared" si="22"/>
        <v>0</v>
      </c>
      <c r="H255" t="str">
        <f t="shared" si="23"/>
        <v>2025-11-16 - Sunday</v>
      </c>
    </row>
    <row r="256" spans="1:8" x14ac:dyDescent="0.35">
      <c r="A256" t="s">
        <v>30</v>
      </c>
      <c r="B256" s="1" t="b">
        <f>ISNUMBER(LEFT(A256,4)+1-1)</f>
        <v>0</v>
      </c>
      <c r="C256" s="1" t="str">
        <f t="shared" si="24"/>
        <v>2025-11-15</v>
      </c>
      <c r="D256" t="str">
        <f t="shared" si="19"/>
        <v>Avg N/A</v>
      </c>
      <c r="E256" t="str">
        <f t="shared" si="20"/>
        <v>S&amp;P500 -1.70%</v>
      </c>
      <c r="F256">
        <f t="shared" si="21"/>
        <v>0</v>
      </c>
      <c r="G256" t="str">
        <f t="shared" si="22"/>
        <v>2025-11-16 - Sunday</v>
      </c>
      <c r="H256" t="str">
        <f t="shared" si="23"/>
        <v>Recs:</v>
      </c>
    </row>
    <row r="257" spans="1:8" x14ac:dyDescent="0.35">
      <c r="A257" t="s">
        <v>123</v>
      </c>
      <c r="B257" s="1" t="b">
        <f>ISNUMBER(LEFT(A257,4)+1-1)</f>
        <v>0</v>
      </c>
      <c r="C257" s="1" t="str">
        <f t="shared" si="24"/>
        <v>2025-11-15</v>
      </c>
      <c r="D257" t="str">
        <f t="shared" si="19"/>
        <v>S&amp;P500 -1.70%</v>
      </c>
      <c r="E257">
        <f t="shared" si="20"/>
        <v>0</v>
      </c>
      <c r="F257" t="str">
        <f t="shared" si="21"/>
        <v>2025-11-16 - Sunday</v>
      </c>
      <c r="G257" t="str">
        <f t="shared" si="22"/>
        <v>Recs:</v>
      </c>
      <c r="H257" t="str">
        <f t="shared" si="23"/>
        <v>STOR B.ST – Storskogen Group AB Simply Wall St</v>
      </c>
    </row>
    <row r="258" spans="1:8" x14ac:dyDescent="0.35">
      <c r="A258" t="s">
        <v>9</v>
      </c>
      <c r="B258" s="1" t="b">
        <f>ISNUMBER(LEFT(A258,4)+1-1)</f>
        <v>0</v>
      </c>
      <c r="C258" s="1" t="str">
        <f t="shared" si="24"/>
        <v>2025-11-15</v>
      </c>
      <c r="D258">
        <f t="shared" si="19"/>
        <v>0</v>
      </c>
      <c r="E258" t="str">
        <f t="shared" si="20"/>
        <v>2025-11-16 - Sunday</v>
      </c>
      <c r="F258" t="str">
        <f t="shared" si="21"/>
        <v>Recs:</v>
      </c>
      <c r="G258" t="str">
        <f t="shared" si="22"/>
        <v>STOR B.ST – Storskogen Group AB Simply Wall St</v>
      </c>
      <c r="H258" t="str">
        <f t="shared" si="23"/>
        <v>BOL.ST – Boliden AB Investing.com+1</v>
      </c>
    </row>
    <row r="259" spans="1:8" x14ac:dyDescent="0.35">
      <c r="A259" t="s">
        <v>140</v>
      </c>
      <c r="B259" s="1" t="b">
        <f>ISNUMBER(LEFT(A259,4)+1-1)</f>
        <v>0</v>
      </c>
      <c r="C259" s="1" t="str">
        <f t="shared" si="24"/>
        <v>2025-11-15</v>
      </c>
      <c r="D259" t="str">
        <f t="shared" ref="D259:D322" si="25">A261</f>
        <v>2025-11-16 - Sunday</v>
      </c>
      <c r="E259" t="str">
        <f t="shared" ref="E259:E322" si="26">A262</f>
        <v>Recs:</v>
      </c>
      <c r="F259" t="str">
        <f t="shared" ref="F259:F322" si="27">A263</f>
        <v>STOR B.ST – Storskogen Group AB Simply Wall St</v>
      </c>
      <c r="G259" t="str">
        <f t="shared" ref="G259:G322" si="28">A264</f>
        <v>BOL.ST – Boliden AB Investing.com+1</v>
      </c>
      <c r="H259" t="str">
        <f t="shared" ref="H259:H322" si="29">A265</f>
        <v>MSFT – Microsoft Corporation</v>
      </c>
    </row>
    <row r="260" spans="1:8" x14ac:dyDescent="0.35">
      <c r="B260" s="1" t="b">
        <f>ISNUMBER(LEFT(A260,4)+1-1)</f>
        <v>0</v>
      </c>
      <c r="C260" s="1" t="str">
        <f t="shared" ref="C260:C323" si="30">IF(B260,LEFT(A260,10),C259)</f>
        <v>2025-11-15</v>
      </c>
      <c r="D260" t="str">
        <f t="shared" si="25"/>
        <v>Recs:</v>
      </c>
      <c r="E260" t="str">
        <f t="shared" si="26"/>
        <v>STOR B.ST – Storskogen Group AB Simply Wall St</v>
      </c>
      <c r="F260" t="str">
        <f t="shared" si="27"/>
        <v>BOL.ST – Boliden AB Investing.com+1</v>
      </c>
      <c r="G260" t="str">
        <f t="shared" si="28"/>
        <v>MSFT – Microsoft Corporation</v>
      </c>
      <c r="H260" t="str">
        <f t="shared" si="29"/>
        <v>NVDA – NVIDIA Corporation</v>
      </c>
    </row>
    <row r="261" spans="1:8" x14ac:dyDescent="0.35">
      <c r="A261" s="2" t="s">
        <v>141</v>
      </c>
      <c r="B261" s="1" t="b">
        <f>ISNUMBER(LEFT(A261,4)+1-1)</f>
        <v>1</v>
      </c>
      <c r="C261" s="1" t="str">
        <f t="shared" si="30"/>
        <v>2025-11-16</v>
      </c>
      <c r="D261" t="str">
        <f t="shared" si="25"/>
        <v>STOR B.ST – Storskogen Group AB Simply Wall St</v>
      </c>
      <c r="E261" t="str">
        <f t="shared" si="26"/>
        <v>BOL.ST – Boliden AB Investing.com+1</v>
      </c>
      <c r="F261" t="str">
        <f t="shared" si="27"/>
        <v>MSFT – Microsoft Corporation</v>
      </c>
      <c r="G261" t="str">
        <f t="shared" si="28"/>
        <v>NVDA – NVIDIA Corporation</v>
      </c>
      <c r="H261" t="str">
        <f t="shared" si="29"/>
        <v>SSAB B.ST – SSAB AB Wikipedia</v>
      </c>
    </row>
    <row r="262" spans="1:8" x14ac:dyDescent="0.35">
      <c r="A262" t="s">
        <v>1</v>
      </c>
      <c r="B262" s="1" t="b">
        <f>ISNUMBER(LEFT(A262,4)+1-1)</f>
        <v>0</v>
      </c>
      <c r="C262" s="1" t="str">
        <f t="shared" si="30"/>
        <v>2025-11-16</v>
      </c>
      <c r="D262" t="str">
        <f t="shared" si="25"/>
        <v>BOL.ST – Boliden AB Investing.com+1</v>
      </c>
      <c r="E262" t="str">
        <f t="shared" si="26"/>
        <v>MSFT – Microsoft Corporation</v>
      </c>
      <c r="F262" t="str">
        <f t="shared" si="27"/>
        <v>NVDA – NVIDIA Corporation</v>
      </c>
      <c r="G262" t="str">
        <f t="shared" si="28"/>
        <v>SSAB B.ST – SSAB AB Wikipedia</v>
      </c>
      <c r="H262" t="str">
        <f t="shared" si="29"/>
        <v>Perf (prev recs):</v>
      </c>
    </row>
    <row r="263" spans="1:8" x14ac:dyDescent="0.35">
      <c r="A263" t="s">
        <v>142</v>
      </c>
      <c r="B263" s="1" t="b">
        <f>ISNUMBER(LEFT(A263,4)+1-1)</f>
        <v>0</v>
      </c>
      <c r="C263" s="1" t="str">
        <f t="shared" si="30"/>
        <v>2025-11-16</v>
      </c>
      <c r="D263" t="str">
        <f t="shared" si="25"/>
        <v>MSFT – Microsoft Corporation</v>
      </c>
      <c r="E263" t="str">
        <f t="shared" si="26"/>
        <v>NVDA – NVIDIA Corporation</v>
      </c>
      <c r="F263" t="str">
        <f t="shared" si="27"/>
        <v>SSAB B.ST – SSAB AB Wikipedia</v>
      </c>
      <c r="G263" t="str">
        <f t="shared" si="28"/>
        <v>Perf (prev recs):</v>
      </c>
      <c r="H263" t="str">
        <f t="shared" si="29"/>
        <v>MSFT +1.37% Investing.com+1</v>
      </c>
    </row>
    <row r="264" spans="1:8" x14ac:dyDescent="0.35">
      <c r="A264" t="s">
        <v>143</v>
      </c>
      <c r="B264" s="1" t="b">
        <f>ISNUMBER(LEFT(A264,4)+1-1)</f>
        <v>0</v>
      </c>
      <c r="C264" s="1" t="str">
        <f t="shared" si="30"/>
        <v>2025-11-16</v>
      </c>
      <c r="D264" t="str">
        <f t="shared" si="25"/>
        <v>NVDA – NVIDIA Corporation</v>
      </c>
      <c r="E264" t="str">
        <f t="shared" si="26"/>
        <v>SSAB B.ST – SSAB AB Wikipedia</v>
      </c>
      <c r="F264" t="str">
        <f t="shared" si="27"/>
        <v>Perf (prev recs):</v>
      </c>
      <c r="G264" t="str">
        <f t="shared" si="28"/>
        <v>MSFT +1.37% Investing.com+1</v>
      </c>
      <c r="H264" t="str">
        <f t="shared" si="29"/>
        <v>NVDA +1.77% Investing.com+1</v>
      </c>
    </row>
    <row r="265" spans="1:8" x14ac:dyDescent="0.35">
      <c r="A265" t="s">
        <v>126</v>
      </c>
      <c r="B265" s="1" t="b">
        <f>ISNUMBER(LEFT(A265,4)+1-1)</f>
        <v>0</v>
      </c>
      <c r="C265" s="1" t="str">
        <f t="shared" si="30"/>
        <v>2025-11-16</v>
      </c>
      <c r="D265" t="str">
        <f t="shared" si="25"/>
        <v>SSAB B.ST – SSAB AB Wikipedia</v>
      </c>
      <c r="E265" t="str">
        <f t="shared" si="26"/>
        <v>Perf (prev recs):</v>
      </c>
      <c r="F265" t="str">
        <f t="shared" si="27"/>
        <v>MSFT +1.37% Investing.com+1</v>
      </c>
      <c r="G265" t="str">
        <f t="shared" si="28"/>
        <v>NVDA +1.77% Investing.com+1</v>
      </c>
      <c r="H265" t="str">
        <f t="shared" si="29"/>
        <v>APM N/A</v>
      </c>
    </row>
    <row r="266" spans="1:8" x14ac:dyDescent="0.35">
      <c r="A266" t="s">
        <v>24</v>
      </c>
      <c r="B266" s="1" t="b">
        <f>ISNUMBER(LEFT(A266,4)+1-1)</f>
        <v>0</v>
      </c>
      <c r="C266" s="1" t="str">
        <f t="shared" si="30"/>
        <v>2025-11-16</v>
      </c>
      <c r="D266" t="str">
        <f t="shared" si="25"/>
        <v>Perf (prev recs):</v>
      </c>
      <c r="E266" t="str">
        <f t="shared" si="26"/>
        <v>MSFT +1.37% Investing.com+1</v>
      </c>
      <c r="F266" t="str">
        <f t="shared" si="27"/>
        <v>NVDA +1.77% Investing.com+1</v>
      </c>
      <c r="G266" t="str">
        <f t="shared" si="28"/>
        <v>APM N/A</v>
      </c>
      <c r="H266" t="str">
        <f t="shared" si="29"/>
        <v>LACX N/A</v>
      </c>
    </row>
    <row r="267" spans="1:8" x14ac:dyDescent="0.35">
      <c r="A267" t="s">
        <v>144</v>
      </c>
      <c r="B267" s="1" t="b">
        <f>ISNUMBER(LEFT(A267,4)+1-1)</f>
        <v>0</v>
      </c>
      <c r="C267" s="1" t="str">
        <f t="shared" si="30"/>
        <v>2025-11-16</v>
      </c>
      <c r="D267" t="str">
        <f t="shared" si="25"/>
        <v>MSFT +1.37% Investing.com+1</v>
      </c>
      <c r="E267" t="str">
        <f t="shared" si="26"/>
        <v>NVDA +1.77% Investing.com+1</v>
      </c>
      <c r="F267" t="str">
        <f t="shared" si="27"/>
        <v>APM N/A</v>
      </c>
      <c r="G267" t="str">
        <f t="shared" si="28"/>
        <v>LACX N/A</v>
      </c>
      <c r="H267" t="str">
        <f t="shared" si="29"/>
        <v>KBH N/A</v>
      </c>
    </row>
    <row r="268" spans="1:8" x14ac:dyDescent="0.35">
      <c r="A268" t="s">
        <v>7</v>
      </c>
      <c r="B268" s="1" t="b">
        <f>ISNUMBER(LEFT(A268,4)+1-1)</f>
        <v>0</v>
      </c>
      <c r="C268" s="1" t="str">
        <f t="shared" si="30"/>
        <v>2025-11-16</v>
      </c>
      <c r="D268" t="str">
        <f t="shared" si="25"/>
        <v>NVDA +1.77% Investing.com+1</v>
      </c>
      <c r="E268" t="str">
        <f t="shared" si="26"/>
        <v>APM N/A</v>
      </c>
      <c r="F268" t="str">
        <f t="shared" si="27"/>
        <v>LACX N/A</v>
      </c>
      <c r="G268" t="str">
        <f t="shared" si="28"/>
        <v>KBH N/A</v>
      </c>
      <c r="H268" t="str">
        <f t="shared" si="29"/>
        <v>Avg +1.57% (calculated ignoring N/A)</v>
      </c>
    </row>
    <row r="269" spans="1:8" x14ac:dyDescent="0.35">
      <c r="A269" t="s">
        <v>145</v>
      </c>
      <c r="B269" s="1" t="b">
        <f>ISNUMBER(LEFT(A269,4)+1-1)</f>
        <v>0</v>
      </c>
      <c r="C269" s="1" t="str">
        <f t="shared" si="30"/>
        <v>2025-11-16</v>
      </c>
      <c r="D269" t="str">
        <f t="shared" si="25"/>
        <v>APM N/A</v>
      </c>
      <c r="E269" t="str">
        <f t="shared" si="26"/>
        <v>LACX N/A</v>
      </c>
      <c r="F269" t="str">
        <f t="shared" si="27"/>
        <v>KBH N/A</v>
      </c>
      <c r="G269" t="str">
        <f t="shared" si="28"/>
        <v>Avg +1.57% (calculated ignoring N/A)</v>
      </c>
      <c r="H269" t="str">
        <f t="shared" si="29"/>
        <v>S&amp;P500 +?% (data insufficient)</v>
      </c>
    </row>
    <row r="270" spans="1:8" x14ac:dyDescent="0.35">
      <c r="A270" t="s">
        <v>146</v>
      </c>
      <c r="B270" s="1" t="b">
        <f>ISNUMBER(LEFT(A270,4)+1-1)</f>
        <v>0</v>
      </c>
      <c r="C270" s="1" t="str">
        <f t="shared" si="30"/>
        <v>2025-11-16</v>
      </c>
      <c r="D270" t="str">
        <f t="shared" si="25"/>
        <v>LACX N/A</v>
      </c>
      <c r="E270" t="str">
        <f t="shared" si="26"/>
        <v>KBH N/A</v>
      </c>
      <c r="F270" t="str">
        <f t="shared" si="27"/>
        <v>Avg +1.57% (calculated ignoring N/A)</v>
      </c>
      <c r="G270" t="str">
        <f t="shared" si="28"/>
        <v>S&amp;P500 +?% (data insufficient)</v>
      </c>
      <c r="H270">
        <f t="shared" si="29"/>
        <v>0</v>
      </c>
    </row>
    <row r="271" spans="1:8" x14ac:dyDescent="0.35">
      <c r="A271" t="s">
        <v>147</v>
      </c>
      <c r="B271" s="1" t="b">
        <f>ISNUMBER(LEFT(A271,4)+1-1)</f>
        <v>0</v>
      </c>
      <c r="C271" s="1" t="str">
        <f t="shared" si="30"/>
        <v>2025-11-16</v>
      </c>
      <c r="D271" t="str">
        <f t="shared" si="25"/>
        <v>KBH N/A</v>
      </c>
      <c r="E271" t="str">
        <f t="shared" si="26"/>
        <v>Avg +1.57% (calculated ignoring N/A)</v>
      </c>
      <c r="F271" t="str">
        <f t="shared" si="27"/>
        <v>S&amp;P500 +?% (data insufficient)</v>
      </c>
      <c r="G271">
        <f t="shared" si="28"/>
        <v>0</v>
      </c>
      <c r="H271" t="str">
        <f t="shared" si="29"/>
        <v>2025-11-17 - Monday</v>
      </c>
    </row>
    <row r="272" spans="1:8" x14ac:dyDescent="0.35">
      <c r="A272" t="s">
        <v>148</v>
      </c>
      <c r="B272" s="1" t="b">
        <f>ISNUMBER(LEFT(A272,4)+1-1)</f>
        <v>0</v>
      </c>
      <c r="C272" s="1" t="str">
        <f t="shared" si="30"/>
        <v>2025-11-16</v>
      </c>
      <c r="D272" t="str">
        <f t="shared" si="25"/>
        <v>Avg +1.57% (calculated ignoring N/A)</v>
      </c>
      <c r="E272" t="str">
        <f t="shared" si="26"/>
        <v>S&amp;P500 +?% (data insufficient)</v>
      </c>
      <c r="F272">
        <f t="shared" si="27"/>
        <v>0</v>
      </c>
      <c r="G272" t="str">
        <f t="shared" si="28"/>
        <v>2025-11-17 - Monday</v>
      </c>
      <c r="H272" t="str">
        <f t="shared" si="29"/>
        <v>Recs:</v>
      </c>
    </row>
    <row r="273" spans="1:8" x14ac:dyDescent="0.35">
      <c r="A273" t="s">
        <v>149</v>
      </c>
      <c r="B273" s="1" t="b">
        <f>ISNUMBER(LEFT(A273,4)+1-1)</f>
        <v>0</v>
      </c>
      <c r="C273" s="1" t="str">
        <f t="shared" si="30"/>
        <v>2025-11-16</v>
      </c>
      <c r="D273" t="str">
        <f t="shared" si="25"/>
        <v>S&amp;P500 +?% (data insufficient)</v>
      </c>
      <c r="E273">
        <f t="shared" si="26"/>
        <v>0</v>
      </c>
      <c r="F273" t="str">
        <f t="shared" si="27"/>
        <v>2025-11-17 - Monday</v>
      </c>
      <c r="G273" t="str">
        <f t="shared" si="28"/>
        <v>Recs:</v>
      </c>
      <c r="H273" t="str">
        <f t="shared" si="29"/>
        <v>AAPL – Apple Inc.</v>
      </c>
    </row>
    <row r="274" spans="1:8" x14ac:dyDescent="0.35">
      <c r="A274" t="s">
        <v>150</v>
      </c>
      <c r="B274" s="1" t="b">
        <f>ISNUMBER(LEFT(A274,4)+1-1)</f>
        <v>0</v>
      </c>
      <c r="C274" s="1" t="str">
        <f t="shared" si="30"/>
        <v>2025-11-16</v>
      </c>
      <c r="D274">
        <f t="shared" si="25"/>
        <v>0</v>
      </c>
      <c r="E274" t="str">
        <f t="shared" si="26"/>
        <v>2025-11-17 - Monday</v>
      </c>
      <c r="F274" t="str">
        <f t="shared" si="27"/>
        <v>Recs:</v>
      </c>
      <c r="G274" t="str">
        <f t="shared" si="28"/>
        <v>AAPL – Apple Inc.</v>
      </c>
      <c r="H274" t="str">
        <f t="shared" si="29"/>
        <v>CSCO – Cisco Systems Inc.</v>
      </c>
    </row>
    <row r="275" spans="1:8" x14ac:dyDescent="0.35">
      <c r="A275" t="s">
        <v>151</v>
      </c>
      <c r="B275" s="1" t="b">
        <f>ISNUMBER(LEFT(A275,4)+1-1)</f>
        <v>0</v>
      </c>
      <c r="C275" s="1" t="str">
        <f t="shared" si="30"/>
        <v>2025-11-16</v>
      </c>
      <c r="D275" t="str">
        <f t="shared" si="25"/>
        <v>2025-11-17 - Monday</v>
      </c>
      <c r="E275" t="str">
        <f t="shared" si="26"/>
        <v>Recs:</v>
      </c>
      <c r="F275" t="str">
        <f t="shared" si="27"/>
        <v>AAPL – Apple Inc.</v>
      </c>
      <c r="G275" t="str">
        <f t="shared" si="28"/>
        <v>CSCO – Cisco Systems Inc.</v>
      </c>
      <c r="H275" t="str">
        <f t="shared" si="29"/>
        <v>CAT – Caterpillar Inc.</v>
      </c>
    </row>
    <row r="276" spans="1:8" x14ac:dyDescent="0.35">
      <c r="B276" s="1" t="b">
        <f>ISNUMBER(LEFT(A276,4)+1-1)</f>
        <v>0</v>
      </c>
      <c r="C276" s="1" t="str">
        <f t="shared" si="30"/>
        <v>2025-11-16</v>
      </c>
      <c r="D276" t="str">
        <f t="shared" si="25"/>
        <v>Recs:</v>
      </c>
      <c r="E276" t="str">
        <f t="shared" si="26"/>
        <v>AAPL – Apple Inc.</v>
      </c>
      <c r="F276" t="str">
        <f t="shared" si="27"/>
        <v>CSCO – Cisco Systems Inc.</v>
      </c>
      <c r="G276" t="str">
        <f t="shared" si="28"/>
        <v>CAT – Caterpillar Inc.</v>
      </c>
      <c r="H276" t="str">
        <f t="shared" si="29"/>
        <v>BHP – BHP Group Ltd.</v>
      </c>
    </row>
    <row r="277" spans="1:8" x14ac:dyDescent="0.35">
      <c r="A277" s="2" t="s">
        <v>152</v>
      </c>
      <c r="B277" s="1" t="b">
        <f>ISNUMBER(LEFT(A277,4)+1-1)</f>
        <v>1</v>
      </c>
      <c r="C277" s="1" t="str">
        <f t="shared" si="30"/>
        <v>2025-11-17</v>
      </c>
      <c r="D277" t="str">
        <f t="shared" si="25"/>
        <v>AAPL – Apple Inc.</v>
      </c>
      <c r="E277" t="str">
        <f t="shared" si="26"/>
        <v>CSCO – Cisco Systems Inc.</v>
      </c>
      <c r="F277" t="str">
        <f t="shared" si="27"/>
        <v>CAT – Caterpillar Inc.</v>
      </c>
      <c r="G277" t="str">
        <f t="shared" si="28"/>
        <v>BHP – BHP Group Ltd.</v>
      </c>
      <c r="H277" t="str">
        <f t="shared" si="29"/>
        <v>SKLGF – SKF Group (Class B, Sweden)</v>
      </c>
    </row>
    <row r="278" spans="1:8" x14ac:dyDescent="0.35">
      <c r="A278" t="s">
        <v>1</v>
      </c>
      <c r="B278" s="1" t="b">
        <f>ISNUMBER(LEFT(A278,4)+1-1)</f>
        <v>0</v>
      </c>
      <c r="C278" s="1" t="str">
        <f t="shared" si="30"/>
        <v>2025-11-17</v>
      </c>
      <c r="D278" t="str">
        <f t="shared" si="25"/>
        <v>CSCO – Cisco Systems Inc.</v>
      </c>
      <c r="E278" t="str">
        <f t="shared" si="26"/>
        <v>CAT – Caterpillar Inc.</v>
      </c>
      <c r="F278" t="str">
        <f t="shared" si="27"/>
        <v>BHP – BHP Group Ltd.</v>
      </c>
      <c r="G278" t="str">
        <f t="shared" si="28"/>
        <v>SKLGF – SKF Group (Class B, Sweden)</v>
      </c>
      <c r="H278" t="str">
        <f t="shared" si="29"/>
        <v>Perf (prev recs):</v>
      </c>
    </row>
    <row r="279" spans="1:8" x14ac:dyDescent="0.35">
      <c r="A279" t="s">
        <v>36</v>
      </c>
      <c r="B279" s="1" t="b">
        <f>ISNUMBER(LEFT(A279,4)+1-1)</f>
        <v>0</v>
      </c>
      <c r="C279" s="1" t="str">
        <f t="shared" si="30"/>
        <v>2025-11-17</v>
      </c>
      <c r="D279" t="str">
        <f t="shared" si="25"/>
        <v>CAT – Caterpillar Inc.</v>
      </c>
      <c r="E279" t="str">
        <f t="shared" si="26"/>
        <v>BHP – BHP Group Ltd.</v>
      </c>
      <c r="F279" t="str">
        <f t="shared" si="27"/>
        <v>SKLGF – SKF Group (Class B, Sweden)</v>
      </c>
      <c r="G279" t="str">
        <f t="shared" si="28"/>
        <v>Perf (prev recs):</v>
      </c>
      <c r="H279" t="str">
        <f t="shared" si="29"/>
        <v>MSFT +1.37%</v>
      </c>
    </row>
    <row r="280" spans="1:8" x14ac:dyDescent="0.35">
      <c r="A280" t="s">
        <v>153</v>
      </c>
      <c r="B280" s="1" t="b">
        <f>ISNUMBER(LEFT(A280,4)+1-1)</f>
        <v>0</v>
      </c>
      <c r="C280" s="1" t="str">
        <f t="shared" si="30"/>
        <v>2025-11-17</v>
      </c>
      <c r="D280" t="str">
        <f t="shared" si="25"/>
        <v>BHP – BHP Group Ltd.</v>
      </c>
      <c r="E280" t="str">
        <f t="shared" si="26"/>
        <v>SKLGF – SKF Group (Class B, Sweden)</v>
      </c>
      <c r="F280" t="str">
        <f t="shared" si="27"/>
        <v>Perf (prev recs):</v>
      </c>
      <c r="G280" t="str">
        <f t="shared" si="28"/>
        <v>MSFT +1.37%</v>
      </c>
      <c r="H280" t="str">
        <f t="shared" si="29"/>
        <v>NVDA +1.77%</v>
      </c>
    </row>
    <row r="281" spans="1:8" x14ac:dyDescent="0.35">
      <c r="A281" t="s">
        <v>154</v>
      </c>
      <c r="B281" s="1" t="b">
        <f>ISNUMBER(LEFT(A281,4)+1-1)</f>
        <v>0</v>
      </c>
      <c r="C281" s="1" t="str">
        <f t="shared" si="30"/>
        <v>2025-11-17</v>
      </c>
      <c r="D281" t="str">
        <f t="shared" si="25"/>
        <v>SKLGF – SKF Group (Class B, Sweden)</v>
      </c>
      <c r="E281" t="str">
        <f t="shared" si="26"/>
        <v>Perf (prev recs):</v>
      </c>
      <c r="F281" t="str">
        <f t="shared" si="27"/>
        <v>MSFT +1.37%</v>
      </c>
      <c r="G281" t="str">
        <f t="shared" si="28"/>
        <v>NVDA +1.77%</v>
      </c>
      <c r="H281" t="str">
        <f t="shared" si="29"/>
        <v>APM N/A</v>
      </c>
    </row>
    <row r="282" spans="1:8" x14ac:dyDescent="0.35">
      <c r="A282" t="s">
        <v>155</v>
      </c>
      <c r="B282" s="1" t="b">
        <f>ISNUMBER(LEFT(A282,4)+1-1)</f>
        <v>0</v>
      </c>
      <c r="C282" s="1" t="str">
        <f t="shared" si="30"/>
        <v>2025-11-17</v>
      </c>
      <c r="D282" t="str">
        <f t="shared" si="25"/>
        <v>Perf (prev recs):</v>
      </c>
      <c r="E282" t="str">
        <f t="shared" si="26"/>
        <v>MSFT +1.37%</v>
      </c>
      <c r="F282" t="str">
        <f t="shared" si="27"/>
        <v>NVDA +1.77%</v>
      </c>
      <c r="G282" t="str">
        <f t="shared" si="28"/>
        <v>APM N/A</v>
      </c>
      <c r="H282" t="str">
        <f t="shared" si="29"/>
        <v>LACX N/A</v>
      </c>
    </row>
    <row r="283" spans="1:8" x14ac:dyDescent="0.35">
      <c r="A283" t="s">
        <v>156</v>
      </c>
      <c r="B283" s="1" t="b">
        <f>ISNUMBER(LEFT(A283,4)+1-1)</f>
        <v>0</v>
      </c>
      <c r="C283" s="1" t="str">
        <f t="shared" si="30"/>
        <v>2025-11-17</v>
      </c>
      <c r="D283" t="str">
        <f t="shared" si="25"/>
        <v>MSFT +1.37%</v>
      </c>
      <c r="E283" t="str">
        <f t="shared" si="26"/>
        <v>NVDA +1.77%</v>
      </c>
      <c r="F283" t="str">
        <f t="shared" si="27"/>
        <v>APM N/A</v>
      </c>
      <c r="G283" t="str">
        <f t="shared" si="28"/>
        <v>LACX N/A</v>
      </c>
      <c r="H283" t="str">
        <f t="shared" si="29"/>
        <v>KBH N/A</v>
      </c>
    </row>
    <row r="284" spans="1:8" x14ac:dyDescent="0.35">
      <c r="A284" t="s">
        <v>7</v>
      </c>
      <c r="B284" s="1" t="b">
        <f>ISNUMBER(LEFT(A284,4)+1-1)</f>
        <v>0</v>
      </c>
      <c r="C284" s="1" t="str">
        <f t="shared" si="30"/>
        <v>2025-11-17</v>
      </c>
      <c r="D284" t="str">
        <f t="shared" si="25"/>
        <v>NVDA +1.77%</v>
      </c>
      <c r="E284" t="str">
        <f t="shared" si="26"/>
        <v>APM N/A</v>
      </c>
      <c r="F284" t="str">
        <f t="shared" si="27"/>
        <v>LACX N/A</v>
      </c>
      <c r="G284" t="str">
        <f t="shared" si="28"/>
        <v>KBH N/A</v>
      </c>
      <c r="H284" t="str">
        <f t="shared" si="29"/>
        <v>Avg +1.57%</v>
      </c>
    </row>
    <row r="285" spans="1:8" x14ac:dyDescent="0.35">
      <c r="A285" t="s">
        <v>138</v>
      </c>
      <c r="B285" s="1" t="b">
        <f>ISNUMBER(LEFT(A285,4)+1-1)</f>
        <v>0</v>
      </c>
      <c r="C285" s="1" t="str">
        <f t="shared" si="30"/>
        <v>2025-11-17</v>
      </c>
      <c r="D285" t="str">
        <f t="shared" si="25"/>
        <v>APM N/A</v>
      </c>
      <c r="E285" t="str">
        <f t="shared" si="26"/>
        <v>LACX N/A</v>
      </c>
      <c r="F285" t="str">
        <f t="shared" si="27"/>
        <v>KBH N/A</v>
      </c>
      <c r="G285" t="str">
        <f t="shared" si="28"/>
        <v>Avg +1.57%</v>
      </c>
      <c r="H285" t="str">
        <f t="shared" si="29"/>
        <v>S&amp;P500 +?%</v>
      </c>
    </row>
    <row r="286" spans="1:8" x14ac:dyDescent="0.35">
      <c r="A286" t="s">
        <v>139</v>
      </c>
      <c r="B286" s="1" t="b">
        <f>ISNUMBER(LEFT(A286,4)+1-1)</f>
        <v>0</v>
      </c>
      <c r="C286" s="1" t="str">
        <f t="shared" si="30"/>
        <v>2025-11-17</v>
      </c>
      <c r="D286" t="str">
        <f t="shared" si="25"/>
        <v>LACX N/A</v>
      </c>
      <c r="E286" t="str">
        <f t="shared" si="26"/>
        <v>KBH N/A</v>
      </c>
      <c r="F286" t="str">
        <f t="shared" si="27"/>
        <v>Avg +1.57%</v>
      </c>
      <c r="G286" t="str">
        <f t="shared" si="28"/>
        <v>S&amp;P500 +?%</v>
      </c>
      <c r="H286">
        <f t="shared" si="29"/>
        <v>0</v>
      </c>
    </row>
    <row r="287" spans="1:8" x14ac:dyDescent="0.35">
      <c r="A287" t="s">
        <v>147</v>
      </c>
      <c r="B287" s="1" t="b">
        <f>ISNUMBER(LEFT(A287,4)+1-1)</f>
        <v>0</v>
      </c>
      <c r="C287" s="1" t="str">
        <f t="shared" si="30"/>
        <v>2025-11-17</v>
      </c>
      <c r="D287" t="str">
        <f t="shared" si="25"/>
        <v>KBH N/A</v>
      </c>
      <c r="E287" t="str">
        <f t="shared" si="26"/>
        <v>Avg +1.57%</v>
      </c>
      <c r="F287" t="str">
        <f t="shared" si="27"/>
        <v>S&amp;P500 +?%</v>
      </c>
      <c r="G287">
        <f t="shared" si="28"/>
        <v>0</v>
      </c>
      <c r="H287" t="str">
        <f t="shared" si="29"/>
        <v>2025-11-18 - Tuesday</v>
      </c>
    </row>
    <row r="288" spans="1:8" x14ac:dyDescent="0.35">
      <c r="A288" t="s">
        <v>148</v>
      </c>
      <c r="B288" s="1" t="b">
        <f>ISNUMBER(LEFT(A288,4)+1-1)</f>
        <v>0</v>
      </c>
      <c r="C288" s="1" t="str">
        <f t="shared" si="30"/>
        <v>2025-11-17</v>
      </c>
      <c r="D288" t="str">
        <f t="shared" si="25"/>
        <v>Avg +1.57%</v>
      </c>
      <c r="E288" t="str">
        <f t="shared" si="26"/>
        <v>S&amp;P500 +?%</v>
      </c>
      <c r="F288">
        <f t="shared" si="27"/>
        <v>0</v>
      </c>
      <c r="G288" t="str">
        <f t="shared" si="28"/>
        <v>2025-11-18 - Tuesday</v>
      </c>
      <c r="H288" t="str">
        <f t="shared" si="29"/>
        <v>Recs:</v>
      </c>
    </row>
    <row r="289" spans="1:8" x14ac:dyDescent="0.35">
      <c r="A289" t="s">
        <v>149</v>
      </c>
      <c r="B289" s="1" t="b">
        <f>ISNUMBER(LEFT(A289,4)+1-1)</f>
        <v>0</v>
      </c>
      <c r="C289" s="1" t="str">
        <f t="shared" si="30"/>
        <v>2025-11-17</v>
      </c>
      <c r="D289" t="str">
        <f t="shared" si="25"/>
        <v>S&amp;P500 +?%</v>
      </c>
      <c r="E289">
        <f t="shared" si="26"/>
        <v>0</v>
      </c>
      <c r="F289" t="str">
        <f t="shared" si="27"/>
        <v>2025-11-18 - Tuesday</v>
      </c>
      <c r="G289" t="str">
        <f t="shared" si="28"/>
        <v>Recs:</v>
      </c>
      <c r="H289" t="str">
        <f t="shared" si="29"/>
        <v>AAPL – Apple Inc.</v>
      </c>
    </row>
    <row r="290" spans="1:8" x14ac:dyDescent="0.35">
      <c r="A290" t="s">
        <v>157</v>
      </c>
      <c r="B290" s="1" t="b">
        <f>ISNUMBER(LEFT(A290,4)+1-1)</f>
        <v>0</v>
      </c>
      <c r="C290" s="1" t="str">
        <f t="shared" si="30"/>
        <v>2025-11-17</v>
      </c>
      <c r="D290">
        <f t="shared" si="25"/>
        <v>0</v>
      </c>
      <c r="E290" t="str">
        <f t="shared" si="26"/>
        <v>2025-11-18 - Tuesday</v>
      </c>
      <c r="F290" t="str">
        <f t="shared" si="27"/>
        <v>Recs:</v>
      </c>
      <c r="G290" t="str">
        <f t="shared" si="28"/>
        <v>AAPL – Apple Inc.</v>
      </c>
      <c r="H290" t="str">
        <f t="shared" si="29"/>
        <v>CSCO – Cisco Systems Inc.</v>
      </c>
    </row>
    <row r="291" spans="1:8" x14ac:dyDescent="0.35">
      <c r="A291" t="s">
        <v>158</v>
      </c>
      <c r="B291" s="1" t="b">
        <f>ISNUMBER(LEFT(A291,4)+1-1)</f>
        <v>0</v>
      </c>
      <c r="C291" s="1" t="str">
        <f t="shared" si="30"/>
        <v>2025-11-17</v>
      </c>
      <c r="D291" t="str">
        <f t="shared" si="25"/>
        <v>2025-11-18 - Tuesday</v>
      </c>
      <c r="E291" t="str">
        <f t="shared" si="26"/>
        <v>Recs:</v>
      </c>
      <c r="F291" t="str">
        <f t="shared" si="27"/>
        <v>AAPL – Apple Inc.</v>
      </c>
      <c r="G291" t="str">
        <f t="shared" si="28"/>
        <v>CSCO – Cisco Systems Inc.</v>
      </c>
      <c r="H291" t="str">
        <f t="shared" si="29"/>
        <v>CAT – Caterpillar Inc.</v>
      </c>
    </row>
    <row r="292" spans="1:8" x14ac:dyDescent="0.35">
      <c r="B292" s="1" t="b">
        <f>ISNUMBER(LEFT(A292,4)+1-1)</f>
        <v>0</v>
      </c>
      <c r="C292" s="1" t="str">
        <f t="shared" si="30"/>
        <v>2025-11-17</v>
      </c>
      <c r="D292" t="str">
        <f t="shared" si="25"/>
        <v>Recs:</v>
      </c>
      <c r="E292" t="str">
        <f t="shared" si="26"/>
        <v>AAPL – Apple Inc.</v>
      </c>
      <c r="F292" t="str">
        <f t="shared" si="27"/>
        <v>CSCO – Cisco Systems Inc.</v>
      </c>
      <c r="G292" t="str">
        <f t="shared" si="28"/>
        <v>CAT – Caterpillar Inc.</v>
      </c>
      <c r="H292" t="str">
        <f t="shared" si="29"/>
        <v>2025-10-14 - Tuesday</v>
      </c>
    </row>
    <row r="293" spans="1:8" x14ac:dyDescent="0.35">
      <c r="A293" s="2" t="s">
        <v>159</v>
      </c>
      <c r="B293" s="1" t="b">
        <f>ISNUMBER(LEFT(A293,4)+1-1)</f>
        <v>1</v>
      </c>
      <c r="C293" s="1" t="str">
        <f t="shared" si="30"/>
        <v>2025-11-18</v>
      </c>
      <c r="D293" t="str">
        <f t="shared" si="25"/>
        <v>AAPL – Apple Inc.</v>
      </c>
      <c r="E293" t="str">
        <f t="shared" si="26"/>
        <v>CSCO – Cisco Systems Inc.</v>
      </c>
      <c r="F293" t="str">
        <f t="shared" si="27"/>
        <v>CAT – Caterpillar Inc.</v>
      </c>
    </row>
    <row r="294" spans="1:8" x14ac:dyDescent="0.35">
      <c r="A294" t="s">
        <v>1</v>
      </c>
      <c r="B294" s="1" t="b">
        <f>ISNUMBER(LEFT(A294,4)+1-1)</f>
        <v>0</v>
      </c>
      <c r="C294" s="1" t="str">
        <f t="shared" si="30"/>
        <v>2025-11-18</v>
      </c>
      <c r="D294" t="str">
        <f t="shared" si="25"/>
        <v>CSCO – Cisco Systems Inc.</v>
      </c>
      <c r="E294" t="str">
        <f t="shared" si="26"/>
        <v>CAT – Caterpillar Inc.</v>
      </c>
      <c r="F294" t="str">
        <f t="shared" si="27"/>
        <v>2025-10-14 - Tuesday</v>
      </c>
      <c r="G294" t="str">
        <f t="shared" si="28"/>
        <v>Recs:</v>
      </c>
      <c r="H294" t="str">
        <f t="shared" si="29"/>
        <v>ERIC – Telefonaktiebolaget LM Ericsson</v>
      </c>
    </row>
    <row r="295" spans="1:8" x14ac:dyDescent="0.35">
      <c r="A295" t="s">
        <v>36</v>
      </c>
      <c r="B295" s="1" t="b">
        <f>ISNUMBER(LEFT(A295,4)+1-1)</f>
        <v>0</v>
      </c>
      <c r="C295" s="1" t="str">
        <f t="shared" si="30"/>
        <v>2025-11-18</v>
      </c>
      <c r="D295" t="str">
        <f t="shared" si="25"/>
        <v>CAT – Caterpillar Inc.</v>
      </c>
      <c r="E295" t="str">
        <f t="shared" si="26"/>
        <v>2025-10-14 - Tuesday</v>
      </c>
      <c r="F295" t="str">
        <f t="shared" si="27"/>
        <v>Recs:</v>
      </c>
      <c r="G295" t="str">
        <f t="shared" si="28"/>
        <v>ERIC – Telefonaktiebolaget LM Ericsson</v>
      </c>
      <c r="H295" t="str">
        <f t="shared" si="29"/>
        <v>SAAB-B.ST – Saab AB</v>
      </c>
    </row>
    <row r="296" spans="1:8" x14ac:dyDescent="0.35">
      <c r="A296" t="s">
        <v>153</v>
      </c>
      <c r="B296" s="1" t="b">
        <f>ISNUMBER(LEFT(A296,4)+1-1)</f>
        <v>0</v>
      </c>
      <c r="C296" s="1" t="str">
        <f t="shared" si="30"/>
        <v>2025-11-18</v>
      </c>
      <c r="D296" t="str">
        <f t="shared" si="25"/>
        <v>2025-10-14 - Tuesday</v>
      </c>
      <c r="E296" t="str">
        <f t="shared" si="26"/>
        <v>Recs:</v>
      </c>
      <c r="F296" t="str">
        <f t="shared" si="27"/>
        <v>ERIC – Telefonaktiebolaget LM Ericsson</v>
      </c>
      <c r="G296" t="str">
        <f t="shared" si="28"/>
        <v>SAAB-B.ST – Saab AB</v>
      </c>
      <c r="H296" t="str">
        <f t="shared" si="29"/>
        <v>AZN.ST – AstraZeneca PLC</v>
      </c>
    </row>
    <row r="297" spans="1:8" x14ac:dyDescent="0.35">
      <c r="A297" t="s">
        <v>154</v>
      </c>
      <c r="B297" s="1" t="b">
        <f>ISNUMBER(LEFT(A297,4)+1-1)</f>
        <v>0</v>
      </c>
      <c r="C297" s="1" t="str">
        <f t="shared" si="30"/>
        <v>2025-11-18</v>
      </c>
      <c r="D297" t="str">
        <f t="shared" si="25"/>
        <v>Recs:</v>
      </c>
      <c r="E297" t="str">
        <f t="shared" si="26"/>
        <v>ERIC – Telefonaktiebolaget LM Ericsson</v>
      </c>
      <c r="F297" t="str">
        <f t="shared" si="27"/>
        <v>SAAB-B.ST – Saab AB</v>
      </c>
      <c r="G297" t="str">
        <f t="shared" si="28"/>
        <v>AZN.ST – AstraZeneca PLC</v>
      </c>
      <c r="H297" t="str">
        <f t="shared" si="29"/>
        <v>AMD – Advanced Micro Devices, Inc.</v>
      </c>
    </row>
    <row r="298" spans="1:8" x14ac:dyDescent="0.35">
      <c r="A298" s="2" t="s">
        <v>264</v>
      </c>
      <c r="B298" s="1" t="b">
        <f>ISNUMBER(LEFT(A298,4)+1-1)</f>
        <v>1</v>
      </c>
      <c r="C298" s="1" t="str">
        <f t="shared" si="30"/>
        <v>2025-10-14</v>
      </c>
      <c r="D298" t="str">
        <f t="shared" si="25"/>
        <v>ERIC – Telefonaktiebolaget LM Ericsson</v>
      </c>
      <c r="E298" t="str">
        <f t="shared" si="26"/>
        <v>SAAB-B.ST – Saab AB</v>
      </c>
      <c r="F298" t="str">
        <f t="shared" si="27"/>
        <v>AZN.ST – AstraZeneca PLC</v>
      </c>
      <c r="G298" t="str">
        <f t="shared" si="28"/>
        <v>AMD – Advanced Micro Devices, Inc.</v>
      </c>
      <c r="H298" t="str">
        <f t="shared" si="29"/>
        <v>MP – MP Materials Corp.</v>
      </c>
    </row>
    <row r="299" spans="1:8" x14ac:dyDescent="0.35">
      <c r="A299" t="s">
        <v>1</v>
      </c>
      <c r="B299" s="1" t="b">
        <f>ISNUMBER(LEFT(A299,4)+1-1)</f>
        <v>0</v>
      </c>
      <c r="C299" s="1" t="str">
        <f t="shared" si="30"/>
        <v>2025-10-14</v>
      </c>
      <c r="D299" t="str">
        <f t="shared" si="25"/>
        <v>SAAB-B.ST – Saab AB</v>
      </c>
      <c r="E299" t="str">
        <f t="shared" si="26"/>
        <v>AZN.ST – AstraZeneca PLC</v>
      </c>
      <c r="F299" t="str">
        <f t="shared" si="27"/>
        <v>AMD – Advanced Micro Devices, Inc.</v>
      </c>
      <c r="G299" t="str">
        <f t="shared" si="28"/>
        <v>MP – MP Materials Corp.</v>
      </c>
      <c r="H299" t="str">
        <f t="shared" si="29"/>
        <v>Perf (prev recs):</v>
      </c>
    </row>
    <row r="300" spans="1:8" x14ac:dyDescent="0.35">
      <c r="A300" t="s">
        <v>3</v>
      </c>
      <c r="B300" s="1" t="b">
        <f>ISNUMBER(LEFT(A300,4)+1-1)</f>
        <v>0</v>
      </c>
      <c r="C300" s="1" t="str">
        <f t="shared" si="30"/>
        <v>2025-10-14</v>
      </c>
      <c r="D300" t="str">
        <f t="shared" si="25"/>
        <v>AZN.ST – AstraZeneca PLC</v>
      </c>
      <c r="E300" t="str">
        <f t="shared" si="26"/>
        <v>AMD – Advanced Micro Devices, Inc.</v>
      </c>
      <c r="F300" t="str">
        <f t="shared" si="27"/>
        <v>MP – MP Materials Corp.</v>
      </c>
      <c r="G300" t="str">
        <f t="shared" si="28"/>
        <v>Perf (prev recs):</v>
      </c>
      <c r="H300" t="str">
        <f t="shared" si="29"/>
        <v>SAAB-B.ST -3.76%</v>
      </c>
    </row>
    <row r="301" spans="1:8" x14ac:dyDescent="0.35">
      <c r="A301" t="s">
        <v>81</v>
      </c>
      <c r="B301" s="1" t="b">
        <f>ISNUMBER(LEFT(A301,4)+1-1)</f>
        <v>0</v>
      </c>
      <c r="C301" s="1" t="str">
        <f t="shared" si="30"/>
        <v>2025-10-14</v>
      </c>
      <c r="D301" t="str">
        <f t="shared" si="25"/>
        <v>AMD – Advanced Micro Devices, Inc.</v>
      </c>
      <c r="E301" t="str">
        <f t="shared" si="26"/>
        <v>MP – MP Materials Corp.</v>
      </c>
      <c r="F301" t="str">
        <f t="shared" si="27"/>
        <v>Perf (prev recs):</v>
      </c>
      <c r="G301" t="str">
        <f t="shared" si="28"/>
        <v>SAAB-B.ST -3.76%</v>
      </c>
      <c r="H301" t="str">
        <f t="shared" si="29"/>
        <v>EVO.ST +1.60%</v>
      </c>
    </row>
    <row r="302" spans="1:8" x14ac:dyDescent="0.35">
      <c r="A302" t="s">
        <v>5</v>
      </c>
      <c r="B302" s="1" t="b">
        <f>ISNUMBER(LEFT(A302,4)+1-1)</f>
        <v>0</v>
      </c>
      <c r="C302" s="1" t="str">
        <f t="shared" si="30"/>
        <v>2025-10-14</v>
      </c>
      <c r="D302" t="str">
        <f t="shared" si="25"/>
        <v>MP – MP Materials Corp.</v>
      </c>
      <c r="E302" t="str">
        <f t="shared" si="26"/>
        <v>Perf (prev recs):</v>
      </c>
      <c r="F302" t="str">
        <f t="shared" si="27"/>
        <v>SAAB-B.ST -3.76%</v>
      </c>
      <c r="G302" t="str">
        <f t="shared" si="28"/>
        <v>EVO.ST +1.60%</v>
      </c>
      <c r="H302" t="str">
        <f t="shared" si="29"/>
        <v>ERIC -0.85%</v>
      </c>
    </row>
    <row r="303" spans="1:8" x14ac:dyDescent="0.35">
      <c r="A303" t="s">
        <v>265</v>
      </c>
      <c r="B303" s="1" t="b">
        <f>ISNUMBER(LEFT(A303,4)+1-1)</f>
        <v>0</v>
      </c>
      <c r="C303" s="1" t="str">
        <f t="shared" si="30"/>
        <v>2025-10-14</v>
      </c>
      <c r="D303" t="str">
        <f t="shared" si="25"/>
        <v>Perf (prev recs):</v>
      </c>
      <c r="E303" t="str">
        <f t="shared" si="26"/>
        <v>SAAB-B.ST -3.76%</v>
      </c>
      <c r="F303" t="str">
        <f t="shared" si="27"/>
        <v>EVO.ST +1.60%</v>
      </c>
      <c r="G303" t="str">
        <f t="shared" si="28"/>
        <v>ERIC -0.85%</v>
      </c>
      <c r="H303" t="str">
        <f t="shared" si="29"/>
        <v>ORCL +5.16%</v>
      </c>
    </row>
    <row r="304" spans="1:8" x14ac:dyDescent="0.35">
      <c r="A304" t="s">
        <v>266</v>
      </c>
      <c r="B304" s="1" t="b">
        <f>ISNUMBER(LEFT(A304,4)+1-1)</f>
        <v>0</v>
      </c>
      <c r="C304" s="1" t="str">
        <f t="shared" si="30"/>
        <v>2025-10-14</v>
      </c>
      <c r="D304" t="str">
        <f t="shared" si="25"/>
        <v>SAAB-B.ST -3.76%</v>
      </c>
      <c r="E304" t="str">
        <f t="shared" si="26"/>
        <v>EVO.ST +1.60%</v>
      </c>
      <c r="F304" t="str">
        <f t="shared" si="27"/>
        <v>ERIC -0.85%</v>
      </c>
      <c r="G304" t="str">
        <f t="shared" si="28"/>
        <v>ORCL +5.16%</v>
      </c>
      <c r="H304" t="str">
        <f t="shared" si="29"/>
        <v>MP +21.31%</v>
      </c>
    </row>
    <row r="305" spans="1:8" x14ac:dyDescent="0.35">
      <c r="A305" t="s">
        <v>7</v>
      </c>
      <c r="B305" s="1" t="b">
        <f>ISNUMBER(LEFT(A305,4)+1-1)</f>
        <v>0</v>
      </c>
      <c r="C305" s="1" t="str">
        <f t="shared" si="30"/>
        <v>2025-10-14</v>
      </c>
      <c r="D305" t="str">
        <f t="shared" si="25"/>
        <v>EVO.ST +1.60%</v>
      </c>
      <c r="E305" t="str">
        <f t="shared" si="26"/>
        <v>ERIC -0.85%</v>
      </c>
      <c r="F305" t="str">
        <f t="shared" si="27"/>
        <v>ORCL +5.16%</v>
      </c>
      <c r="G305" t="str">
        <f t="shared" si="28"/>
        <v>MP +21.31%</v>
      </c>
      <c r="H305" t="str">
        <f t="shared" si="29"/>
        <v>Avg +4.69%</v>
      </c>
    </row>
    <row r="306" spans="1:8" x14ac:dyDescent="0.35">
      <c r="A306" t="s">
        <v>267</v>
      </c>
      <c r="B306" s="1" t="b">
        <f>ISNUMBER(LEFT(A306,4)+1-1)</f>
        <v>0</v>
      </c>
      <c r="C306" s="1" t="str">
        <f t="shared" si="30"/>
        <v>2025-10-14</v>
      </c>
      <c r="D306" t="str">
        <f t="shared" si="25"/>
        <v>ERIC -0.85%</v>
      </c>
      <c r="E306" t="str">
        <f t="shared" si="26"/>
        <v>ORCL +5.16%</v>
      </c>
      <c r="F306" t="str">
        <f t="shared" si="27"/>
        <v>MP +21.31%</v>
      </c>
      <c r="G306" t="str">
        <f t="shared" si="28"/>
        <v>Avg +4.69%</v>
      </c>
      <c r="H306">
        <f t="shared" si="29"/>
        <v>0</v>
      </c>
    </row>
    <row r="307" spans="1:8" x14ac:dyDescent="0.35">
      <c r="A307" t="s">
        <v>268</v>
      </c>
      <c r="B307" s="1" t="b">
        <f>ISNUMBER(LEFT(A307,4)+1-1)</f>
        <v>0</v>
      </c>
      <c r="C307" s="1" t="str">
        <f t="shared" si="30"/>
        <v>2025-10-14</v>
      </c>
      <c r="D307" t="str">
        <f t="shared" si="25"/>
        <v>ORCL +5.16%</v>
      </c>
      <c r="E307" t="str">
        <f t="shared" si="26"/>
        <v>MP +21.31%</v>
      </c>
      <c r="F307" t="str">
        <f t="shared" si="27"/>
        <v>Avg +4.69%</v>
      </c>
      <c r="G307">
        <f t="shared" si="28"/>
        <v>0</v>
      </c>
      <c r="H307" t="str">
        <f t="shared" si="29"/>
        <v>2025-10-16 - Thursday</v>
      </c>
    </row>
    <row r="308" spans="1:8" x14ac:dyDescent="0.35">
      <c r="A308" t="s">
        <v>269</v>
      </c>
      <c r="B308" s="1" t="b">
        <f>ISNUMBER(LEFT(A308,4)+1-1)</f>
        <v>0</v>
      </c>
      <c r="C308" s="1" t="str">
        <f t="shared" si="30"/>
        <v>2025-10-14</v>
      </c>
      <c r="D308" t="str">
        <f t="shared" si="25"/>
        <v>MP +21.31%</v>
      </c>
      <c r="E308" t="str">
        <f t="shared" si="26"/>
        <v>Avg +4.69%</v>
      </c>
      <c r="F308">
        <f t="shared" si="27"/>
        <v>0</v>
      </c>
      <c r="G308" t="str">
        <f t="shared" si="28"/>
        <v>2025-10-16 - Thursday</v>
      </c>
      <c r="H308" t="str">
        <f t="shared" si="29"/>
        <v>Recs:</v>
      </c>
    </row>
    <row r="309" spans="1:8" x14ac:dyDescent="0.35">
      <c r="A309" t="s">
        <v>270</v>
      </c>
      <c r="B309" s="1" t="b">
        <f>ISNUMBER(LEFT(A309,4)+1-1)</f>
        <v>0</v>
      </c>
      <c r="C309" s="1" t="str">
        <f t="shared" si="30"/>
        <v>2025-10-14</v>
      </c>
      <c r="D309" t="str">
        <f t="shared" si="25"/>
        <v>Avg +4.69%</v>
      </c>
      <c r="E309">
        <f t="shared" si="26"/>
        <v>0</v>
      </c>
      <c r="F309" t="str">
        <f t="shared" si="27"/>
        <v>2025-10-16 - Thursday</v>
      </c>
      <c r="G309" t="str">
        <f t="shared" si="28"/>
        <v>Recs:</v>
      </c>
      <c r="H309" t="str">
        <f t="shared" si="29"/>
        <v>VOLV-B.ST – Volvo</v>
      </c>
    </row>
    <row r="310" spans="1:8" x14ac:dyDescent="0.35">
      <c r="A310" t="s">
        <v>271</v>
      </c>
      <c r="B310" s="1" t="b">
        <f>ISNUMBER(LEFT(A310,4)+1-1)</f>
        <v>0</v>
      </c>
      <c r="C310" s="1" t="str">
        <f t="shared" si="30"/>
        <v>2025-10-14</v>
      </c>
      <c r="D310">
        <f t="shared" si="25"/>
        <v>0</v>
      </c>
      <c r="E310" t="str">
        <f t="shared" si="26"/>
        <v>2025-10-16 - Thursday</v>
      </c>
      <c r="F310" t="str">
        <f t="shared" si="27"/>
        <v>Recs:</v>
      </c>
      <c r="G310" t="str">
        <f t="shared" si="28"/>
        <v>VOLV-B.ST – Volvo</v>
      </c>
      <c r="H310" t="str">
        <f t="shared" si="29"/>
        <v>NIBE-B.ST – Nibe Industrier</v>
      </c>
    </row>
    <row r="311" spans="1:8" x14ac:dyDescent="0.35">
      <c r="A311" t="s">
        <v>272</v>
      </c>
      <c r="B311" s="1" t="b">
        <f>ISNUMBER(LEFT(A311,4)+1-1)</f>
        <v>0</v>
      </c>
      <c r="C311" s="1" t="str">
        <f t="shared" si="30"/>
        <v>2025-10-14</v>
      </c>
      <c r="D311" t="str">
        <f t="shared" si="25"/>
        <v>2025-10-16 - Thursday</v>
      </c>
      <c r="E311" t="str">
        <f t="shared" si="26"/>
        <v>Recs:</v>
      </c>
      <c r="F311" t="str">
        <f t="shared" si="27"/>
        <v>VOLV-B.ST – Volvo</v>
      </c>
      <c r="G311" t="str">
        <f t="shared" si="28"/>
        <v>NIBE-B.ST – Nibe Industrier</v>
      </c>
      <c r="H311" t="str">
        <f t="shared" si="29"/>
        <v>SPOT – Spotify Technology</v>
      </c>
    </row>
    <row r="312" spans="1:8" x14ac:dyDescent="0.35">
      <c r="B312" s="1" t="b">
        <f>ISNUMBER(LEFT(A312,4)+1-1)</f>
        <v>0</v>
      </c>
      <c r="C312" s="1" t="str">
        <f t="shared" si="30"/>
        <v>2025-10-14</v>
      </c>
      <c r="D312" t="str">
        <f t="shared" si="25"/>
        <v>Recs:</v>
      </c>
      <c r="E312" t="str">
        <f t="shared" si="26"/>
        <v>VOLV-B.ST – Volvo</v>
      </c>
      <c r="F312" t="str">
        <f t="shared" si="27"/>
        <v>NIBE-B.ST – Nibe Industrier</v>
      </c>
      <c r="G312" t="str">
        <f t="shared" si="28"/>
        <v>SPOT – Spotify Technology</v>
      </c>
      <c r="H312" t="str">
        <f t="shared" si="29"/>
        <v>TSLA – Tesla</v>
      </c>
    </row>
    <row r="313" spans="1:8" x14ac:dyDescent="0.35">
      <c r="A313" s="2" t="s">
        <v>273</v>
      </c>
      <c r="B313" s="1" t="b">
        <f>ISNUMBER(LEFT(A313,4)+1-1)</f>
        <v>1</v>
      </c>
      <c r="C313" s="1" t="str">
        <f t="shared" si="30"/>
        <v>2025-10-16</v>
      </c>
      <c r="D313" t="str">
        <f t="shared" si="25"/>
        <v>VOLV-B.ST – Volvo</v>
      </c>
      <c r="E313" t="str">
        <f t="shared" si="26"/>
        <v>NIBE-B.ST – Nibe Industrier</v>
      </c>
      <c r="F313" t="str">
        <f t="shared" si="27"/>
        <v>SPOT – Spotify Technology</v>
      </c>
      <c r="G313" t="str">
        <f t="shared" si="28"/>
        <v>TSLA – Tesla</v>
      </c>
      <c r="H313" t="str">
        <f t="shared" si="29"/>
        <v>SHEL – Shell</v>
      </c>
    </row>
    <row r="314" spans="1:8" x14ac:dyDescent="0.35">
      <c r="A314" t="s">
        <v>1</v>
      </c>
      <c r="B314" s="1" t="b">
        <f>ISNUMBER(LEFT(A314,4)+1-1)</f>
        <v>0</v>
      </c>
      <c r="C314" s="1" t="str">
        <f t="shared" si="30"/>
        <v>2025-10-16</v>
      </c>
      <c r="D314" t="str">
        <f t="shared" si="25"/>
        <v>NIBE-B.ST – Nibe Industrier</v>
      </c>
      <c r="E314" t="str">
        <f t="shared" si="26"/>
        <v>SPOT – Spotify Technology</v>
      </c>
      <c r="F314" t="str">
        <f t="shared" si="27"/>
        <v>TSLA – Tesla</v>
      </c>
      <c r="G314" t="str">
        <f t="shared" si="28"/>
        <v>SHEL – Shell</v>
      </c>
      <c r="H314" t="str">
        <f t="shared" si="29"/>
        <v>Perf (prev recs):</v>
      </c>
    </row>
    <row r="315" spans="1:8" x14ac:dyDescent="0.35">
      <c r="A315" t="s">
        <v>274</v>
      </c>
      <c r="B315" s="1" t="b">
        <f>ISNUMBER(LEFT(A315,4)+1-1)</f>
        <v>0</v>
      </c>
      <c r="C315" s="1" t="str">
        <f t="shared" si="30"/>
        <v>2025-10-16</v>
      </c>
      <c r="D315" t="str">
        <f t="shared" si="25"/>
        <v>SPOT – Spotify Technology</v>
      </c>
      <c r="E315" t="str">
        <f t="shared" si="26"/>
        <v>TSLA – Tesla</v>
      </c>
      <c r="F315" t="str">
        <f t="shared" si="27"/>
        <v>SHEL – Shell</v>
      </c>
      <c r="G315" t="str">
        <f t="shared" si="28"/>
        <v>Perf (prev recs):</v>
      </c>
      <c r="H315" t="str">
        <f t="shared" si="29"/>
        <v>VOLV-B.ST +0.84%</v>
      </c>
    </row>
    <row r="316" spans="1:8" x14ac:dyDescent="0.35">
      <c r="A316" t="s">
        <v>275</v>
      </c>
      <c r="B316" s="1" t="b">
        <f>ISNUMBER(LEFT(A316,4)+1-1)</f>
        <v>0</v>
      </c>
      <c r="C316" s="1" t="str">
        <f t="shared" si="30"/>
        <v>2025-10-16</v>
      </c>
      <c r="D316" t="str">
        <f t="shared" si="25"/>
        <v>TSLA – Tesla</v>
      </c>
      <c r="E316" t="str">
        <f t="shared" si="26"/>
        <v>SHEL – Shell</v>
      </c>
      <c r="F316" t="str">
        <f t="shared" si="27"/>
        <v>Perf (prev recs):</v>
      </c>
      <c r="G316" t="str">
        <f t="shared" si="28"/>
        <v>VOLV-B.ST +0.84%</v>
      </c>
      <c r="H316" t="str">
        <f t="shared" si="29"/>
        <v>SEB-A.ST -0.42%</v>
      </c>
    </row>
    <row r="317" spans="1:8" x14ac:dyDescent="0.35">
      <c r="A317" t="s">
        <v>276</v>
      </c>
      <c r="B317" s="1" t="b">
        <f>ISNUMBER(LEFT(A317,4)+1-1)</f>
        <v>0</v>
      </c>
      <c r="C317" s="1" t="str">
        <f t="shared" si="30"/>
        <v>2025-10-16</v>
      </c>
      <c r="D317" t="str">
        <f t="shared" si="25"/>
        <v>SHEL – Shell</v>
      </c>
      <c r="E317" t="str">
        <f t="shared" si="26"/>
        <v>Perf (prev recs):</v>
      </c>
      <c r="F317" t="str">
        <f t="shared" si="27"/>
        <v>VOLV-B.ST +0.84%</v>
      </c>
      <c r="G317" t="str">
        <f t="shared" si="28"/>
        <v>SEB-A.ST -0.42%</v>
      </c>
      <c r="H317" t="str">
        <f t="shared" si="29"/>
        <v>NVDA +2.91%</v>
      </c>
    </row>
    <row r="318" spans="1:8" x14ac:dyDescent="0.35">
      <c r="A318" t="s">
        <v>277</v>
      </c>
      <c r="B318" s="1" t="b">
        <f>ISNUMBER(LEFT(A318,4)+1-1)</f>
        <v>0</v>
      </c>
      <c r="C318" s="1" t="str">
        <f t="shared" si="30"/>
        <v>2025-10-16</v>
      </c>
      <c r="D318" t="str">
        <f t="shared" si="25"/>
        <v>Perf (prev recs):</v>
      </c>
      <c r="E318" t="str">
        <f t="shared" si="26"/>
        <v>VOLV-B.ST +0.84%</v>
      </c>
      <c r="F318" t="str">
        <f t="shared" si="27"/>
        <v>SEB-A.ST -0.42%</v>
      </c>
      <c r="G318" t="str">
        <f t="shared" si="28"/>
        <v>NVDA +2.91%</v>
      </c>
      <c r="H318" t="str">
        <f t="shared" si="29"/>
        <v>SHEL +0.55%</v>
      </c>
    </row>
    <row r="319" spans="1:8" x14ac:dyDescent="0.35">
      <c r="A319" t="s">
        <v>278</v>
      </c>
      <c r="B319" s="1" t="b">
        <f>ISNUMBER(LEFT(A319,4)+1-1)</f>
        <v>0</v>
      </c>
      <c r="C319" s="1" t="str">
        <f t="shared" si="30"/>
        <v>2025-10-16</v>
      </c>
      <c r="D319" t="str">
        <f t="shared" si="25"/>
        <v>VOLV-B.ST +0.84%</v>
      </c>
      <c r="E319" t="str">
        <f t="shared" si="26"/>
        <v>SEB-A.ST -0.42%</v>
      </c>
      <c r="F319" t="str">
        <f t="shared" si="27"/>
        <v>NVDA +2.91%</v>
      </c>
      <c r="G319" t="str">
        <f t="shared" si="28"/>
        <v>SHEL +0.55%</v>
      </c>
      <c r="H319" t="str">
        <f t="shared" si="29"/>
        <v>ABB -0.63%</v>
      </c>
    </row>
    <row r="320" spans="1:8" x14ac:dyDescent="0.35">
      <c r="A320" t="s">
        <v>7</v>
      </c>
      <c r="B320" s="1" t="b">
        <f>ISNUMBER(LEFT(A320,4)+1-1)</f>
        <v>0</v>
      </c>
      <c r="C320" s="1" t="str">
        <f t="shared" si="30"/>
        <v>2025-10-16</v>
      </c>
      <c r="D320" t="str">
        <f t="shared" si="25"/>
        <v>SEB-A.ST -0.42%</v>
      </c>
      <c r="E320" t="str">
        <f t="shared" si="26"/>
        <v>NVDA +2.91%</v>
      </c>
      <c r="F320" t="str">
        <f t="shared" si="27"/>
        <v>SHEL +0.55%</v>
      </c>
      <c r="G320" t="str">
        <f t="shared" si="28"/>
        <v>ABB -0.63%</v>
      </c>
      <c r="H320" t="str">
        <f t="shared" si="29"/>
        <v>Avg +0.65%</v>
      </c>
    </row>
    <row r="321" spans="1:8" x14ac:dyDescent="0.35">
      <c r="A321" t="s">
        <v>279</v>
      </c>
      <c r="B321" s="1" t="b">
        <f>ISNUMBER(LEFT(A321,4)+1-1)</f>
        <v>0</v>
      </c>
      <c r="C321" s="1" t="str">
        <f t="shared" si="30"/>
        <v>2025-10-16</v>
      </c>
      <c r="D321" t="str">
        <f t="shared" si="25"/>
        <v>NVDA +2.91%</v>
      </c>
      <c r="E321" t="str">
        <f t="shared" si="26"/>
        <v>SHEL +0.55%</v>
      </c>
      <c r="F321" t="str">
        <f t="shared" si="27"/>
        <v>ABB -0.63%</v>
      </c>
      <c r="G321" t="str">
        <f t="shared" si="28"/>
        <v>Avg +0.65%</v>
      </c>
      <c r="H321">
        <f t="shared" si="29"/>
        <v>0</v>
      </c>
    </row>
    <row r="322" spans="1:8" x14ac:dyDescent="0.35">
      <c r="A322" t="s">
        <v>280</v>
      </c>
      <c r="B322" s="1" t="b">
        <f>ISNUMBER(LEFT(A322,4)+1-1)</f>
        <v>0</v>
      </c>
      <c r="C322" s="1" t="str">
        <f t="shared" si="30"/>
        <v>2025-10-16</v>
      </c>
      <c r="D322" t="str">
        <f t="shared" si="25"/>
        <v>SHEL +0.55%</v>
      </c>
      <c r="E322" t="str">
        <f t="shared" si="26"/>
        <v>ABB -0.63%</v>
      </c>
      <c r="F322" t="str">
        <f t="shared" si="27"/>
        <v>Avg +0.65%</v>
      </c>
      <c r="G322">
        <f t="shared" si="28"/>
        <v>0</v>
      </c>
      <c r="H322" t="str">
        <f t="shared" si="29"/>
        <v>2025-10-18 - Saturday</v>
      </c>
    </row>
    <row r="323" spans="1:8" x14ac:dyDescent="0.35">
      <c r="A323" t="s">
        <v>281</v>
      </c>
      <c r="B323" s="1" t="b">
        <f>ISNUMBER(LEFT(A323,4)+1-1)</f>
        <v>0</v>
      </c>
      <c r="C323" s="1" t="str">
        <f t="shared" si="30"/>
        <v>2025-10-16</v>
      </c>
      <c r="D323" t="str">
        <f t="shared" ref="D323:D386" si="31">A325</f>
        <v>ABB -0.63%</v>
      </c>
      <c r="E323" t="str">
        <f t="shared" ref="E323:E386" si="32">A326</f>
        <v>Avg +0.65%</v>
      </c>
      <c r="F323">
        <f t="shared" ref="F323:F386" si="33">A327</f>
        <v>0</v>
      </c>
      <c r="G323" t="str">
        <f t="shared" ref="G323:G386" si="34">A328</f>
        <v>2025-10-18 - Saturday</v>
      </c>
      <c r="H323" t="str">
        <f t="shared" ref="H323:H386" si="35">A329</f>
        <v>Recs:</v>
      </c>
    </row>
    <row r="324" spans="1:8" x14ac:dyDescent="0.35">
      <c r="A324" t="s">
        <v>282</v>
      </c>
      <c r="B324" s="1" t="b">
        <f>ISNUMBER(LEFT(A324,4)+1-1)</f>
        <v>0</v>
      </c>
      <c r="C324" s="1" t="str">
        <f t="shared" ref="C324:C387" si="36">IF(B324,LEFT(A324,10),C323)</f>
        <v>2025-10-16</v>
      </c>
      <c r="D324" t="str">
        <f t="shared" si="31"/>
        <v>Avg +0.65%</v>
      </c>
      <c r="E324">
        <f t="shared" si="32"/>
        <v>0</v>
      </c>
      <c r="F324" t="str">
        <f t="shared" si="33"/>
        <v>2025-10-18 - Saturday</v>
      </c>
      <c r="G324" t="str">
        <f t="shared" si="34"/>
        <v>Recs:</v>
      </c>
      <c r="H324" t="str">
        <f t="shared" si="35"/>
        <v>ERIC – Ericsson</v>
      </c>
    </row>
    <row r="325" spans="1:8" x14ac:dyDescent="0.35">
      <c r="A325" t="s">
        <v>283</v>
      </c>
      <c r="B325" s="1" t="b">
        <f>ISNUMBER(LEFT(A325,4)+1-1)</f>
        <v>0</v>
      </c>
      <c r="C325" s="1" t="str">
        <f t="shared" si="36"/>
        <v>2025-10-16</v>
      </c>
      <c r="D325">
        <f t="shared" si="31"/>
        <v>0</v>
      </c>
      <c r="E325" t="str">
        <f t="shared" si="32"/>
        <v>2025-10-18 - Saturday</v>
      </c>
      <c r="F325" t="str">
        <f t="shared" si="33"/>
        <v>Recs:</v>
      </c>
      <c r="G325" t="str">
        <f t="shared" si="34"/>
        <v>ERIC – Ericsson</v>
      </c>
      <c r="H325" t="str">
        <f t="shared" si="35"/>
        <v>SAND.ST – Sandvik</v>
      </c>
    </row>
    <row r="326" spans="1:8" x14ac:dyDescent="0.35">
      <c r="A326" t="s">
        <v>284</v>
      </c>
      <c r="B326" s="1" t="b">
        <f>ISNUMBER(LEFT(A326,4)+1-1)</f>
        <v>0</v>
      </c>
      <c r="C326" s="1" t="str">
        <f t="shared" si="36"/>
        <v>2025-10-16</v>
      </c>
      <c r="D326" t="str">
        <f t="shared" si="31"/>
        <v>2025-10-18 - Saturday</v>
      </c>
      <c r="E326" t="str">
        <f t="shared" si="32"/>
        <v>Recs:</v>
      </c>
      <c r="F326" t="str">
        <f t="shared" si="33"/>
        <v>ERIC – Ericsson</v>
      </c>
      <c r="G326" t="str">
        <f t="shared" si="34"/>
        <v>SAND.ST – Sandvik</v>
      </c>
      <c r="H326" t="str">
        <f t="shared" si="35"/>
        <v>AAPL – Apple</v>
      </c>
    </row>
    <row r="327" spans="1:8" x14ac:dyDescent="0.35">
      <c r="B327" s="1" t="b">
        <f>ISNUMBER(LEFT(A327,4)+1-1)</f>
        <v>0</v>
      </c>
      <c r="C327" s="1" t="str">
        <f t="shared" si="36"/>
        <v>2025-10-16</v>
      </c>
      <c r="D327" t="str">
        <f t="shared" si="31"/>
        <v>Recs:</v>
      </c>
      <c r="E327" t="str">
        <f t="shared" si="32"/>
        <v>ERIC – Ericsson</v>
      </c>
      <c r="F327" t="str">
        <f t="shared" si="33"/>
        <v>SAND.ST – Sandvik</v>
      </c>
      <c r="G327" t="str">
        <f t="shared" si="34"/>
        <v>AAPL – Apple</v>
      </c>
      <c r="H327" t="str">
        <f t="shared" si="35"/>
        <v>RIO – Rio Tinto</v>
      </c>
    </row>
    <row r="328" spans="1:8" x14ac:dyDescent="0.35">
      <c r="A328" s="2" t="s">
        <v>285</v>
      </c>
      <c r="B328" s="1" t="b">
        <f>ISNUMBER(LEFT(A328,4)+1-1)</f>
        <v>1</v>
      </c>
      <c r="C328" s="1" t="str">
        <f t="shared" si="36"/>
        <v>2025-10-18</v>
      </c>
      <c r="D328" t="str">
        <f t="shared" si="31"/>
        <v>ERIC – Ericsson</v>
      </c>
      <c r="E328" t="str">
        <f t="shared" si="32"/>
        <v>SAND.ST – Sandvik</v>
      </c>
      <c r="F328" t="str">
        <f t="shared" si="33"/>
        <v>AAPL – Apple</v>
      </c>
      <c r="G328" t="str">
        <f t="shared" si="34"/>
        <v>RIO – Rio Tinto</v>
      </c>
      <c r="H328" t="str">
        <f t="shared" si="35"/>
        <v>ORCL – Oracle</v>
      </c>
    </row>
    <row r="329" spans="1:8" x14ac:dyDescent="0.35">
      <c r="A329" t="s">
        <v>1</v>
      </c>
      <c r="B329" s="1" t="b">
        <f>ISNUMBER(LEFT(A329,4)+1-1)</f>
        <v>0</v>
      </c>
      <c r="C329" s="1" t="str">
        <f t="shared" si="36"/>
        <v>2025-10-18</v>
      </c>
      <c r="D329" t="str">
        <f t="shared" si="31"/>
        <v>SAND.ST – Sandvik</v>
      </c>
      <c r="E329" t="str">
        <f t="shared" si="32"/>
        <v>AAPL – Apple</v>
      </c>
      <c r="F329" t="str">
        <f t="shared" si="33"/>
        <v>RIO – Rio Tinto</v>
      </c>
      <c r="G329" t="str">
        <f t="shared" si="34"/>
        <v>ORCL – Oracle</v>
      </c>
      <c r="H329" t="str">
        <f t="shared" si="35"/>
        <v>Perf (prev recs):</v>
      </c>
    </row>
    <row r="330" spans="1:8" x14ac:dyDescent="0.35">
      <c r="A330" t="s">
        <v>286</v>
      </c>
      <c r="B330" s="1" t="b">
        <f>ISNUMBER(LEFT(A330,4)+1-1)</f>
        <v>0</v>
      </c>
      <c r="C330" s="1" t="str">
        <f t="shared" si="36"/>
        <v>2025-10-18</v>
      </c>
      <c r="D330" t="str">
        <f t="shared" si="31"/>
        <v>AAPL – Apple</v>
      </c>
      <c r="E330" t="str">
        <f t="shared" si="32"/>
        <v>RIO – Rio Tinto</v>
      </c>
      <c r="F330" t="str">
        <f t="shared" si="33"/>
        <v>ORCL – Oracle</v>
      </c>
      <c r="G330" t="str">
        <f t="shared" si="34"/>
        <v>Perf (prev recs):</v>
      </c>
      <c r="H330" t="str">
        <f t="shared" si="35"/>
        <v>VOLV-B.ST +0.45%</v>
      </c>
    </row>
    <row r="331" spans="1:8" x14ac:dyDescent="0.35">
      <c r="A331" t="s">
        <v>287</v>
      </c>
      <c r="B331" s="1" t="b">
        <f>ISNUMBER(LEFT(A331,4)+1-1)</f>
        <v>0</v>
      </c>
      <c r="C331" s="1" t="str">
        <f t="shared" si="36"/>
        <v>2025-10-18</v>
      </c>
      <c r="D331" t="str">
        <f t="shared" si="31"/>
        <v>RIO – Rio Tinto</v>
      </c>
      <c r="E331" t="str">
        <f t="shared" si="32"/>
        <v>ORCL – Oracle</v>
      </c>
      <c r="F331" t="str">
        <f t="shared" si="33"/>
        <v>Perf (prev recs):</v>
      </c>
      <c r="G331" t="str">
        <f t="shared" si="34"/>
        <v>VOLV-B.ST +0.45%</v>
      </c>
      <c r="H331" t="str">
        <f t="shared" si="35"/>
        <v>NIBE-B.ST -0.32%</v>
      </c>
    </row>
    <row r="332" spans="1:8" x14ac:dyDescent="0.35">
      <c r="A332" t="s">
        <v>288</v>
      </c>
      <c r="B332" s="1" t="b">
        <f>ISNUMBER(LEFT(A332,4)+1-1)</f>
        <v>0</v>
      </c>
      <c r="C332" s="1" t="str">
        <f t="shared" si="36"/>
        <v>2025-10-18</v>
      </c>
      <c r="D332" t="str">
        <f t="shared" si="31"/>
        <v>ORCL – Oracle</v>
      </c>
      <c r="E332" t="str">
        <f t="shared" si="32"/>
        <v>Perf (prev recs):</v>
      </c>
      <c r="F332" t="str">
        <f t="shared" si="33"/>
        <v>VOLV-B.ST +0.45%</v>
      </c>
      <c r="G332" t="str">
        <f t="shared" si="34"/>
        <v>NIBE-B.ST -0.32%</v>
      </c>
      <c r="H332" t="str">
        <f t="shared" si="35"/>
        <v>SPOT +1.15%</v>
      </c>
    </row>
    <row r="333" spans="1:8" x14ac:dyDescent="0.35">
      <c r="A333" t="s">
        <v>289</v>
      </c>
      <c r="B333" s="1" t="b">
        <f>ISNUMBER(LEFT(A333,4)+1-1)</f>
        <v>0</v>
      </c>
      <c r="C333" s="1" t="str">
        <f t="shared" si="36"/>
        <v>2025-10-18</v>
      </c>
      <c r="D333" t="str">
        <f t="shared" si="31"/>
        <v>Perf (prev recs):</v>
      </c>
      <c r="E333" t="str">
        <f t="shared" si="32"/>
        <v>VOLV-B.ST +0.45%</v>
      </c>
      <c r="F333" t="str">
        <f t="shared" si="33"/>
        <v>NIBE-B.ST -0.32%</v>
      </c>
      <c r="G333" t="str">
        <f t="shared" si="34"/>
        <v>SPOT +1.15%</v>
      </c>
      <c r="H333" t="str">
        <f t="shared" si="35"/>
        <v>TSLA -0.88%</v>
      </c>
    </row>
    <row r="334" spans="1:8" x14ac:dyDescent="0.35">
      <c r="A334" t="s">
        <v>290</v>
      </c>
      <c r="B334" s="1" t="b">
        <f>ISNUMBER(LEFT(A334,4)+1-1)</f>
        <v>0</v>
      </c>
      <c r="C334" s="1" t="str">
        <f t="shared" si="36"/>
        <v>2025-10-18</v>
      </c>
      <c r="D334" t="str">
        <f t="shared" si="31"/>
        <v>VOLV-B.ST +0.45%</v>
      </c>
      <c r="E334" t="str">
        <f t="shared" si="32"/>
        <v>NIBE-B.ST -0.32%</v>
      </c>
      <c r="F334" t="str">
        <f t="shared" si="33"/>
        <v>SPOT +1.15%</v>
      </c>
      <c r="G334" t="str">
        <f t="shared" si="34"/>
        <v>TSLA -0.88%</v>
      </c>
      <c r="H334" t="str">
        <f t="shared" si="35"/>
        <v>SHEL +0.27%</v>
      </c>
    </row>
    <row r="335" spans="1:8" x14ac:dyDescent="0.35">
      <c r="A335" t="s">
        <v>7</v>
      </c>
      <c r="B335" s="1" t="b">
        <f>ISNUMBER(LEFT(A335,4)+1-1)</f>
        <v>0</v>
      </c>
      <c r="C335" s="1" t="str">
        <f t="shared" si="36"/>
        <v>2025-10-18</v>
      </c>
      <c r="D335" t="str">
        <f t="shared" si="31"/>
        <v>NIBE-B.ST -0.32%</v>
      </c>
      <c r="E335" t="str">
        <f t="shared" si="32"/>
        <v>SPOT +1.15%</v>
      </c>
      <c r="F335" t="str">
        <f t="shared" si="33"/>
        <v>TSLA -0.88%</v>
      </c>
      <c r="G335" t="str">
        <f t="shared" si="34"/>
        <v>SHEL +0.27%</v>
      </c>
      <c r="H335" t="str">
        <f t="shared" si="35"/>
        <v>Avg +0.13%</v>
      </c>
    </row>
    <row r="336" spans="1:8" x14ac:dyDescent="0.35">
      <c r="A336" t="s">
        <v>291</v>
      </c>
      <c r="B336" s="1" t="b">
        <f>ISNUMBER(LEFT(A336,4)+1-1)</f>
        <v>0</v>
      </c>
      <c r="C336" s="1" t="str">
        <f t="shared" si="36"/>
        <v>2025-10-18</v>
      </c>
      <c r="D336" t="str">
        <f t="shared" si="31"/>
        <v>SPOT +1.15%</v>
      </c>
      <c r="E336" t="str">
        <f t="shared" si="32"/>
        <v>TSLA -0.88%</v>
      </c>
      <c r="F336" t="str">
        <f t="shared" si="33"/>
        <v>SHEL +0.27%</v>
      </c>
      <c r="G336" t="str">
        <f t="shared" si="34"/>
        <v>Avg +0.13%</v>
      </c>
      <c r="H336">
        <f t="shared" si="35"/>
        <v>0</v>
      </c>
    </row>
    <row r="337" spans="1:8" x14ac:dyDescent="0.35">
      <c r="A337" t="s">
        <v>292</v>
      </c>
      <c r="B337" s="1" t="b">
        <f>ISNUMBER(LEFT(A337,4)+1-1)</f>
        <v>0</v>
      </c>
      <c r="C337" s="1" t="str">
        <f t="shared" si="36"/>
        <v>2025-10-18</v>
      </c>
      <c r="D337" t="str">
        <f t="shared" si="31"/>
        <v>TSLA -0.88%</v>
      </c>
      <c r="E337" t="str">
        <f t="shared" si="32"/>
        <v>SHEL +0.27%</v>
      </c>
      <c r="F337" t="str">
        <f t="shared" si="33"/>
        <v>Avg +0.13%</v>
      </c>
      <c r="G337">
        <f t="shared" si="34"/>
        <v>0</v>
      </c>
      <c r="H337" t="str">
        <f t="shared" si="35"/>
        <v>2025-10-19 - Sunday</v>
      </c>
    </row>
    <row r="338" spans="1:8" x14ac:dyDescent="0.35">
      <c r="A338" t="s">
        <v>293</v>
      </c>
      <c r="B338" s="1" t="b">
        <f>ISNUMBER(LEFT(A338,4)+1-1)</f>
        <v>0</v>
      </c>
      <c r="C338" s="1" t="str">
        <f t="shared" si="36"/>
        <v>2025-10-18</v>
      </c>
      <c r="D338" t="str">
        <f t="shared" si="31"/>
        <v>SHEL +0.27%</v>
      </c>
      <c r="E338" t="str">
        <f t="shared" si="32"/>
        <v>Avg +0.13%</v>
      </c>
      <c r="F338">
        <f t="shared" si="33"/>
        <v>0</v>
      </c>
      <c r="G338" t="str">
        <f t="shared" si="34"/>
        <v>2025-10-19 - Sunday</v>
      </c>
      <c r="H338" t="str">
        <f t="shared" si="35"/>
        <v>Recs:</v>
      </c>
    </row>
    <row r="339" spans="1:8" x14ac:dyDescent="0.35">
      <c r="A339" t="s">
        <v>294</v>
      </c>
      <c r="B339" s="1" t="b">
        <f>ISNUMBER(LEFT(A339,4)+1-1)</f>
        <v>0</v>
      </c>
      <c r="C339" s="1" t="str">
        <f t="shared" si="36"/>
        <v>2025-10-18</v>
      </c>
      <c r="D339" t="str">
        <f t="shared" si="31"/>
        <v>Avg +0.13%</v>
      </c>
      <c r="E339">
        <f t="shared" si="32"/>
        <v>0</v>
      </c>
      <c r="F339" t="str">
        <f t="shared" si="33"/>
        <v>2025-10-19 - Sunday</v>
      </c>
      <c r="G339" t="str">
        <f t="shared" si="34"/>
        <v>Recs:</v>
      </c>
      <c r="H339" t="str">
        <f t="shared" si="35"/>
        <v>SKF-B.ST – SKF</v>
      </c>
    </row>
    <row r="340" spans="1:8" x14ac:dyDescent="0.35">
      <c r="A340" t="s">
        <v>295</v>
      </c>
      <c r="B340" s="1" t="b">
        <f>ISNUMBER(LEFT(A340,4)+1-1)</f>
        <v>0</v>
      </c>
      <c r="C340" s="1" t="str">
        <f t="shared" si="36"/>
        <v>2025-10-18</v>
      </c>
      <c r="D340">
        <f t="shared" si="31"/>
        <v>0</v>
      </c>
      <c r="E340" t="str">
        <f t="shared" si="32"/>
        <v>2025-10-19 - Sunday</v>
      </c>
      <c r="F340" t="str">
        <f t="shared" si="33"/>
        <v>Recs:</v>
      </c>
      <c r="G340" t="str">
        <f t="shared" si="34"/>
        <v>SKF-B.ST – SKF</v>
      </c>
      <c r="H340" t="str">
        <f t="shared" si="35"/>
        <v>EVO.ST – Evolution AB</v>
      </c>
    </row>
    <row r="341" spans="1:8" x14ac:dyDescent="0.35">
      <c r="A341" t="s">
        <v>296</v>
      </c>
      <c r="B341" s="1" t="b">
        <f>ISNUMBER(LEFT(A341,4)+1-1)</f>
        <v>0</v>
      </c>
      <c r="C341" s="1" t="str">
        <f t="shared" si="36"/>
        <v>2025-10-18</v>
      </c>
      <c r="D341" t="str">
        <f t="shared" si="31"/>
        <v>2025-10-19 - Sunday</v>
      </c>
      <c r="E341" t="str">
        <f t="shared" si="32"/>
        <v>Recs:</v>
      </c>
      <c r="F341" t="str">
        <f t="shared" si="33"/>
        <v>SKF-B.ST – SKF</v>
      </c>
      <c r="G341" t="str">
        <f t="shared" si="34"/>
        <v>EVO.ST – Evolution AB</v>
      </c>
      <c r="H341" t="str">
        <f t="shared" si="35"/>
        <v>MSFT – Microsoft</v>
      </c>
    </row>
    <row r="342" spans="1:8" x14ac:dyDescent="0.35">
      <c r="B342" s="1" t="b">
        <f>ISNUMBER(LEFT(A342,4)+1-1)</f>
        <v>0</v>
      </c>
      <c r="C342" s="1" t="str">
        <f t="shared" si="36"/>
        <v>2025-10-18</v>
      </c>
      <c r="D342" t="str">
        <f t="shared" si="31"/>
        <v>Recs:</v>
      </c>
      <c r="E342" t="str">
        <f t="shared" si="32"/>
        <v>SKF-B.ST – SKF</v>
      </c>
      <c r="F342" t="str">
        <f t="shared" si="33"/>
        <v>EVO.ST – Evolution AB</v>
      </c>
      <c r="G342" t="str">
        <f t="shared" si="34"/>
        <v>MSFT – Microsoft</v>
      </c>
      <c r="H342" t="str">
        <f t="shared" si="35"/>
        <v>NVO – Novo Nordisk</v>
      </c>
    </row>
    <row r="343" spans="1:8" x14ac:dyDescent="0.35">
      <c r="A343" s="2" t="s">
        <v>297</v>
      </c>
      <c r="B343" s="1" t="b">
        <f>ISNUMBER(LEFT(A343,4)+1-1)</f>
        <v>1</v>
      </c>
      <c r="C343" s="1" t="str">
        <f t="shared" si="36"/>
        <v>2025-10-19</v>
      </c>
      <c r="D343" t="str">
        <f t="shared" si="31"/>
        <v>SKF-B.ST – SKF</v>
      </c>
      <c r="E343" t="str">
        <f t="shared" si="32"/>
        <v>EVO.ST – Evolution AB</v>
      </c>
      <c r="F343" t="str">
        <f t="shared" si="33"/>
        <v>MSFT – Microsoft</v>
      </c>
      <c r="G343" t="str">
        <f t="shared" si="34"/>
        <v>NVO – Novo Nordisk</v>
      </c>
      <c r="H343" t="str">
        <f t="shared" si="35"/>
        <v>BP – BP Plc</v>
      </c>
    </row>
    <row r="344" spans="1:8" x14ac:dyDescent="0.35">
      <c r="A344" t="s">
        <v>1</v>
      </c>
      <c r="B344" s="1" t="b">
        <f>ISNUMBER(LEFT(A344,4)+1-1)</f>
        <v>0</v>
      </c>
      <c r="C344" s="1" t="str">
        <f t="shared" si="36"/>
        <v>2025-10-19</v>
      </c>
      <c r="D344" t="str">
        <f t="shared" si="31"/>
        <v>EVO.ST – Evolution AB</v>
      </c>
      <c r="E344" t="str">
        <f t="shared" si="32"/>
        <v>MSFT – Microsoft</v>
      </c>
      <c r="F344" t="str">
        <f t="shared" si="33"/>
        <v>NVO – Novo Nordisk</v>
      </c>
      <c r="G344" t="str">
        <f t="shared" si="34"/>
        <v>BP – BP Plc</v>
      </c>
      <c r="H344" t="str">
        <f t="shared" si="35"/>
        <v>Perf (prev recs):</v>
      </c>
    </row>
    <row r="345" spans="1:8" x14ac:dyDescent="0.35">
      <c r="A345" t="s">
        <v>298</v>
      </c>
      <c r="B345" s="1" t="b">
        <f>ISNUMBER(LEFT(A345,4)+1-1)</f>
        <v>0</v>
      </c>
      <c r="C345" s="1" t="str">
        <f t="shared" si="36"/>
        <v>2025-10-19</v>
      </c>
      <c r="D345" t="str">
        <f t="shared" si="31"/>
        <v>MSFT – Microsoft</v>
      </c>
      <c r="E345" t="str">
        <f t="shared" si="32"/>
        <v>NVO – Novo Nordisk</v>
      </c>
      <c r="F345" t="str">
        <f t="shared" si="33"/>
        <v>BP – BP Plc</v>
      </c>
      <c r="G345" t="str">
        <f t="shared" si="34"/>
        <v>Perf (prev recs):</v>
      </c>
      <c r="H345" t="str">
        <f t="shared" si="35"/>
        <v>ERIC +0.42%</v>
      </c>
    </row>
    <row r="346" spans="1:8" x14ac:dyDescent="0.35">
      <c r="A346" t="s">
        <v>299</v>
      </c>
      <c r="B346" s="1" t="b">
        <f>ISNUMBER(LEFT(A346,4)+1-1)</f>
        <v>0</v>
      </c>
      <c r="C346" s="1" t="str">
        <f t="shared" si="36"/>
        <v>2025-10-19</v>
      </c>
      <c r="D346" t="str">
        <f t="shared" si="31"/>
        <v>NVO – Novo Nordisk</v>
      </c>
      <c r="E346" t="str">
        <f t="shared" si="32"/>
        <v>BP – BP Plc</v>
      </c>
      <c r="F346" t="str">
        <f t="shared" si="33"/>
        <v>Perf (prev recs):</v>
      </c>
      <c r="G346" t="str">
        <f t="shared" si="34"/>
        <v>ERIC +0.42%</v>
      </c>
      <c r="H346" t="str">
        <f t="shared" si="35"/>
        <v>SAND.ST -0.55%</v>
      </c>
    </row>
    <row r="347" spans="1:8" x14ac:dyDescent="0.35">
      <c r="A347" t="s">
        <v>300</v>
      </c>
      <c r="B347" s="1" t="b">
        <f>ISNUMBER(LEFT(A347,4)+1-1)</f>
        <v>0</v>
      </c>
      <c r="C347" s="1" t="str">
        <f t="shared" si="36"/>
        <v>2025-10-19</v>
      </c>
      <c r="D347" t="str">
        <f t="shared" si="31"/>
        <v>BP – BP Plc</v>
      </c>
      <c r="E347" t="str">
        <f t="shared" si="32"/>
        <v>Perf (prev recs):</v>
      </c>
      <c r="F347" t="str">
        <f t="shared" si="33"/>
        <v>ERIC +0.42%</v>
      </c>
      <c r="G347" t="str">
        <f t="shared" si="34"/>
        <v>SAND.ST -0.55%</v>
      </c>
      <c r="H347" t="str">
        <f t="shared" si="35"/>
        <v>AAPL +1.18%</v>
      </c>
    </row>
    <row r="348" spans="1:8" x14ac:dyDescent="0.35">
      <c r="A348" t="s">
        <v>301</v>
      </c>
      <c r="B348" s="1" t="b">
        <f>ISNUMBER(LEFT(A348,4)+1-1)</f>
        <v>0</v>
      </c>
      <c r="C348" s="1" t="str">
        <f t="shared" si="36"/>
        <v>2025-10-19</v>
      </c>
      <c r="D348" t="str">
        <f t="shared" si="31"/>
        <v>Perf (prev recs):</v>
      </c>
      <c r="E348" t="str">
        <f t="shared" si="32"/>
        <v>ERIC +0.42%</v>
      </c>
      <c r="F348" t="str">
        <f t="shared" si="33"/>
        <v>SAND.ST -0.55%</v>
      </c>
      <c r="G348" t="str">
        <f t="shared" si="34"/>
        <v>AAPL +1.18%</v>
      </c>
      <c r="H348" t="str">
        <f t="shared" si="35"/>
        <v>RIO -0.33%</v>
      </c>
    </row>
    <row r="349" spans="1:8" x14ac:dyDescent="0.35">
      <c r="A349" t="s">
        <v>302</v>
      </c>
      <c r="B349" s="1" t="b">
        <f>ISNUMBER(LEFT(A349,4)+1-1)</f>
        <v>0</v>
      </c>
      <c r="C349" s="1" t="str">
        <f t="shared" si="36"/>
        <v>2025-10-19</v>
      </c>
      <c r="D349" t="str">
        <f t="shared" si="31"/>
        <v>ERIC +0.42%</v>
      </c>
      <c r="E349" t="str">
        <f t="shared" si="32"/>
        <v>SAND.ST -0.55%</v>
      </c>
      <c r="F349" t="str">
        <f t="shared" si="33"/>
        <v>AAPL +1.18%</v>
      </c>
      <c r="G349" t="str">
        <f t="shared" si="34"/>
        <v>RIO -0.33%</v>
      </c>
      <c r="H349" t="str">
        <f t="shared" si="35"/>
        <v>ORCL +0.27%</v>
      </c>
    </row>
    <row r="350" spans="1:8" x14ac:dyDescent="0.35">
      <c r="A350" t="s">
        <v>7</v>
      </c>
      <c r="B350" s="1" t="b">
        <f>ISNUMBER(LEFT(A350,4)+1-1)</f>
        <v>0</v>
      </c>
      <c r="C350" s="1" t="str">
        <f t="shared" si="36"/>
        <v>2025-10-19</v>
      </c>
      <c r="D350" t="str">
        <f t="shared" si="31"/>
        <v>SAND.ST -0.55%</v>
      </c>
      <c r="E350" t="str">
        <f t="shared" si="32"/>
        <v>AAPL +1.18%</v>
      </c>
      <c r="F350" t="str">
        <f t="shared" si="33"/>
        <v>RIO -0.33%</v>
      </c>
      <c r="G350" t="str">
        <f t="shared" si="34"/>
        <v>ORCL +0.27%</v>
      </c>
      <c r="H350" t="str">
        <f t="shared" si="35"/>
        <v>Avg +0.20%</v>
      </c>
    </row>
    <row r="351" spans="1:8" x14ac:dyDescent="0.35">
      <c r="A351" t="s">
        <v>303</v>
      </c>
      <c r="B351" s="1" t="b">
        <f>ISNUMBER(LEFT(A351,4)+1-1)</f>
        <v>0</v>
      </c>
      <c r="C351" s="1" t="str">
        <f t="shared" si="36"/>
        <v>2025-10-19</v>
      </c>
      <c r="D351" t="str">
        <f t="shared" si="31"/>
        <v>AAPL +1.18%</v>
      </c>
      <c r="E351" t="str">
        <f t="shared" si="32"/>
        <v>RIO -0.33%</v>
      </c>
      <c r="F351" t="str">
        <f t="shared" si="33"/>
        <v>ORCL +0.27%</v>
      </c>
      <c r="G351" t="str">
        <f t="shared" si="34"/>
        <v>Avg +0.20%</v>
      </c>
      <c r="H351">
        <f t="shared" si="35"/>
        <v>0</v>
      </c>
    </row>
    <row r="352" spans="1:8" x14ac:dyDescent="0.35">
      <c r="A352" t="s">
        <v>304</v>
      </c>
      <c r="B352" s="1" t="b">
        <f>ISNUMBER(LEFT(A352,4)+1-1)</f>
        <v>0</v>
      </c>
      <c r="C352" s="1" t="str">
        <f t="shared" si="36"/>
        <v>2025-10-19</v>
      </c>
      <c r="D352" t="str">
        <f t="shared" si="31"/>
        <v>RIO -0.33%</v>
      </c>
      <c r="E352" t="str">
        <f t="shared" si="32"/>
        <v>ORCL +0.27%</v>
      </c>
      <c r="F352" t="str">
        <f t="shared" si="33"/>
        <v>Avg +0.20%</v>
      </c>
      <c r="G352">
        <f t="shared" si="34"/>
        <v>0</v>
      </c>
      <c r="H352" t="str">
        <f t="shared" si="35"/>
        <v>2025-10-21 - Tuesday</v>
      </c>
    </row>
    <row r="353" spans="1:8" x14ac:dyDescent="0.35">
      <c r="A353" t="s">
        <v>305</v>
      </c>
      <c r="B353" s="1" t="b">
        <f>ISNUMBER(LEFT(A353,4)+1-1)</f>
        <v>0</v>
      </c>
      <c r="C353" s="1" t="str">
        <f t="shared" si="36"/>
        <v>2025-10-19</v>
      </c>
      <c r="D353" t="str">
        <f t="shared" si="31"/>
        <v>ORCL +0.27%</v>
      </c>
      <c r="E353" t="str">
        <f t="shared" si="32"/>
        <v>Avg +0.20%</v>
      </c>
      <c r="F353">
        <f t="shared" si="33"/>
        <v>0</v>
      </c>
      <c r="G353" t="str">
        <f t="shared" si="34"/>
        <v>2025-10-21 - Tuesday</v>
      </c>
      <c r="H353" t="str">
        <f t="shared" si="35"/>
        <v>Recs:</v>
      </c>
    </row>
    <row r="354" spans="1:8" x14ac:dyDescent="0.35">
      <c r="A354" t="s">
        <v>306</v>
      </c>
      <c r="B354" s="1" t="b">
        <f>ISNUMBER(LEFT(A354,4)+1-1)</f>
        <v>0</v>
      </c>
      <c r="C354" s="1" t="str">
        <f t="shared" si="36"/>
        <v>2025-10-19</v>
      </c>
      <c r="D354" t="str">
        <f t="shared" si="31"/>
        <v>Avg +0.20%</v>
      </c>
      <c r="E354">
        <f t="shared" si="32"/>
        <v>0</v>
      </c>
      <c r="F354" t="str">
        <f t="shared" si="33"/>
        <v>2025-10-21 - Tuesday</v>
      </c>
      <c r="G354" t="str">
        <f t="shared" si="34"/>
        <v>Recs:</v>
      </c>
      <c r="H354" t="str">
        <f t="shared" si="35"/>
        <v>AAPL – Apple</v>
      </c>
    </row>
    <row r="355" spans="1:8" x14ac:dyDescent="0.35">
      <c r="A355" t="s">
        <v>307</v>
      </c>
      <c r="B355" s="1" t="b">
        <f>ISNUMBER(LEFT(A355,4)+1-1)</f>
        <v>0</v>
      </c>
      <c r="C355" s="1" t="str">
        <f t="shared" si="36"/>
        <v>2025-10-19</v>
      </c>
      <c r="D355">
        <f t="shared" si="31"/>
        <v>0</v>
      </c>
      <c r="E355" t="str">
        <f t="shared" si="32"/>
        <v>2025-10-21 - Tuesday</v>
      </c>
      <c r="F355" t="str">
        <f t="shared" si="33"/>
        <v>Recs:</v>
      </c>
      <c r="G355" t="str">
        <f t="shared" si="34"/>
        <v>AAPL – Apple</v>
      </c>
      <c r="H355" t="str">
        <f t="shared" si="35"/>
        <v>TSLA – Tesla</v>
      </c>
    </row>
    <row r="356" spans="1:8" x14ac:dyDescent="0.35">
      <c r="A356" t="s">
        <v>183</v>
      </c>
      <c r="B356" s="1" t="b">
        <f>ISNUMBER(LEFT(A356,4)+1-1)</f>
        <v>0</v>
      </c>
      <c r="C356" s="1" t="str">
        <f t="shared" si="36"/>
        <v>2025-10-19</v>
      </c>
      <c r="D356" t="str">
        <f t="shared" si="31"/>
        <v>2025-10-21 - Tuesday</v>
      </c>
      <c r="E356" t="str">
        <f t="shared" si="32"/>
        <v>Recs:</v>
      </c>
      <c r="F356" t="str">
        <f t="shared" si="33"/>
        <v>AAPL – Apple</v>
      </c>
      <c r="G356" t="str">
        <f t="shared" si="34"/>
        <v>TSLA – Tesla</v>
      </c>
      <c r="H356" t="str">
        <f t="shared" si="35"/>
        <v>SHEL – Shell</v>
      </c>
    </row>
    <row r="357" spans="1:8" x14ac:dyDescent="0.35">
      <c r="B357" s="1" t="b">
        <f>ISNUMBER(LEFT(A357,4)+1-1)</f>
        <v>0</v>
      </c>
      <c r="C357" s="1" t="str">
        <f t="shared" si="36"/>
        <v>2025-10-19</v>
      </c>
      <c r="D357" t="str">
        <f t="shared" si="31"/>
        <v>Recs:</v>
      </c>
      <c r="E357" t="str">
        <f t="shared" si="32"/>
        <v>AAPL – Apple</v>
      </c>
      <c r="F357" t="str">
        <f t="shared" si="33"/>
        <v>TSLA – Tesla</v>
      </c>
      <c r="G357" t="str">
        <f t="shared" si="34"/>
        <v>SHEL – Shell</v>
      </c>
      <c r="H357" t="str">
        <f t="shared" si="35"/>
        <v>RIO – Rio Tinto</v>
      </c>
    </row>
    <row r="358" spans="1:8" x14ac:dyDescent="0.35">
      <c r="A358" s="2" t="s">
        <v>308</v>
      </c>
      <c r="B358" s="1" t="b">
        <f>ISNUMBER(LEFT(A358,4)+1-1)</f>
        <v>1</v>
      </c>
      <c r="C358" s="1" t="str">
        <f t="shared" si="36"/>
        <v>2025-10-21</v>
      </c>
      <c r="D358" t="str">
        <f t="shared" si="31"/>
        <v>AAPL – Apple</v>
      </c>
      <c r="E358" t="str">
        <f t="shared" si="32"/>
        <v>TSLA – Tesla</v>
      </c>
      <c r="F358" t="str">
        <f t="shared" si="33"/>
        <v>SHEL – Shell</v>
      </c>
      <c r="G358" t="str">
        <f t="shared" si="34"/>
        <v>RIO – Rio Tinto</v>
      </c>
      <c r="H358" t="str">
        <f t="shared" si="35"/>
        <v>ERIC – Ericsson</v>
      </c>
    </row>
    <row r="359" spans="1:8" x14ac:dyDescent="0.35">
      <c r="A359" t="s">
        <v>1</v>
      </c>
      <c r="B359" s="1" t="b">
        <f>ISNUMBER(LEFT(A359,4)+1-1)</f>
        <v>0</v>
      </c>
      <c r="C359" s="1" t="str">
        <f t="shared" si="36"/>
        <v>2025-10-21</v>
      </c>
      <c r="D359" t="str">
        <f t="shared" si="31"/>
        <v>TSLA – Tesla</v>
      </c>
      <c r="E359" t="str">
        <f t="shared" si="32"/>
        <v>SHEL – Shell</v>
      </c>
      <c r="F359" t="str">
        <f t="shared" si="33"/>
        <v>RIO – Rio Tinto</v>
      </c>
      <c r="G359" t="str">
        <f t="shared" si="34"/>
        <v>ERIC – Ericsson</v>
      </c>
      <c r="H359" t="str">
        <f t="shared" si="35"/>
        <v>Perf (prev recs):</v>
      </c>
    </row>
    <row r="360" spans="1:8" x14ac:dyDescent="0.35">
      <c r="A360" t="s">
        <v>288</v>
      </c>
      <c r="B360" s="1" t="b">
        <f>ISNUMBER(LEFT(A360,4)+1-1)</f>
        <v>0</v>
      </c>
      <c r="C360" s="1" t="str">
        <f t="shared" si="36"/>
        <v>2025-10-21</v>
      </c>
      <c r="D360" t="str">
        <f t="shared" si="31"/>
        <v>SHEL – Shell</v>
      </c>
      <c r="E360" t="str">
        <f t="shared" si="32"/>
        <v>RIO – Rio Tinto</v>
      </c>
      <c r="F360" t="str">
        <f t="shared" si="33"/>
        <v>ERIC – Ericsson</v>
      </c>
      <c r="G360" t="str">
        <f t="shared" si="34"/>
        <v>Perf (prev recs):</v>
      </c>
      <c r="H360" t="str">
        <f t="shared" si="35"/>
        <v>SKFb +0.56%</v>
      </c>
    </row>
    <row r="361" spans="1:8" x14ac:dyDescent="0.35">
      <c r="A361" t="s">
        <v>277</v>
      </c>
      <c r="B361" s="1" t="b">
        <f>ISNUMBER(LEFT(A361,4)+1-1)</f>
        <v>0</v>
      </c>
      <c r="C361" s="1" t="str">
        <f t="shared" si="36"/>
        <v>2025-10-21</v>
      </c>
      <c r="D361" t="str">
        <f t="shared" si="31"/>
        <v>RIO – Rio Tinto</v>
      </c>
      <c r="E361" t="str">
        <f t="shared" si="32"/>
        <v>ERIC – Ericsson</v>
      </c>
      <c r="F361" t="str">
        <f t="shared" si="33"/>
        <v>Perf (prev recs):</v>
      </c>
      <c r="G361" t="str">
        <f t="shared" si="34"/>
        <v>SKFb +0.56%</v>
      </c>
      <c r="H361" t="str">
        <f t="shared" si="35"/>
        <v>EVO.ST -0.49%</v>
      </c>
    </row>
    <row r="362" spans="1:8" x14ac:dyDescent="0.35">
      <c r="A362" t="s">
        <v>278</v>
      </c>
      <c r="B362" s="1" t="b">
        <f>ISNUMBER(LEFT(A362,4)+1-1)</f>
        <v>0</v>
      </c>
      <c r="C362" s="1" t="str">
        <f t="shared" si="36"/>
        <v>2025-10-21</v>
      </c>
      <c r="D362" t="str">
        <f t="shared" si="31"/>
        <v>ERIC – Ericsson</v>
      </c>
      <c r="E362" t="str">
        <f t="shared" si="32"/>
        <v>Perf (prev recs):</v>
      </c>
      <c r="F362" t="str">
        <f t="shared" si="33"/>
        <v>SKFb +0.56%</v>
      </c>
      <c r="G362" t="str">
        <f t="shared" si="34"/>
        <v>EVO.ST -0.49%</v>
      </c>
      <c r="H362" t="str">
        <f t="shared" si="35"/>
        <v>MSFT +1.12%</v>
      </c>
    </row>
    <row r="363" spans="1:8" x14ac:dyDescent="0.35">
      <c r="A363" t="s">
        <v>289</v>
      </c>
      <c r="B363" s="1" t="b">
        <f>ISNUMBER(LEFT(A363,4)+1-1)</f>
        <v>0</v>
      </c>
      <c r="C363" s="1" t="str">
        <f t="shared" si="36"/>
        <v>2025-10-21</v>
      </c>
      <c r="D363" t="str">
        <f t="shared" si="31"/>
        <v>Perf (prev recs):</v>
      </c>
      <c r="E363" t="str">
        <f t="shared" si="32"/>
        <v>SKFb +0.56%</v>
      </c>
      <c r="F363" t="str">
        <f t="shared" si="33"/>
        <v>EVO.ST -0.49%</v>
      </c>
      <c r="G363" t="str">
        <f t="shared" si="34"/>
        <v>MSFT +1.12%</v>
      </c>
      <c r="H363" t="str">
        <f t="shared" si="35"/>
        <v>NVO +0.88%</v>
      </c>
    </row>
    <row r="364" spans="1:8" x14ac:dyDescent="0.35">
      <c r="A364" t="s">
        <v>286</v>
      </c>
      <c r="B364" s="1" t="b">
        <f>ISNUMBER(LEFT(A364,4)+1-1)</f>
        <v>0</v>
      </c>
      <c r="C364" s="1" t="str">
        <f t="shared" si="36"/>
        <v>2025-10-21</v>
      </c>
      <c r="D364" t="str">
        <f t="shared" si="31"/>
        <v>SKFb +0.56%</v>
      </c>
      <c r="E364" t="str">
        <f t="shared" si="32"/>
        <v>EVO.ST -0.49%</v>
      </c>
      <c r="F364" t="str">
        <f t="shared" si="33"/>
        <v>MSFT +1.12%</v>
      </c>
      <c r="G364" t="str">
        <f t="shared" si="34"/>
        <v>NVO +0.88%</v>
      </c>
      <c r="H364" t="str">
        <f t="shared" si="35"/>
        <v>BP +0.34%</v>
      </c>
    </row>
    <row r="365" spans="1:8" x14ac:dyDescent="0.35">
      <c r="A365" t="s">
        <v>7</v>
      </c>
      <c r="B365" s="1" t="b">
        <f>ISNUMBER(LEFT(A365,4)+1-1)</f>
        <v>0</v>
      </c>
      <c r="C365" s="1" t="str">
        <f t="shared" si="36"/>
        <v>2025-10-21</v>
      </c>
      <c r="D365" t="str">
        <f t="shared" si="31"/>
        <v>EVO.ST -0.49%</v>
      </c>
      <c r="E365" t="str">
        <f t="shared" si="32"/>
        <v>MSFT +1.12%</v>
      </c>
      <c r="F365" t="str">
        <f t="shared" si="33"/>
        <v>NVO +0.88%</v>
      </c>
      <c r="G365" t="str">
        <f t="shared" si="34"/>
        <v>BP +0.34%</v>
      </c>
      <c r="H365" t="str">
        <f t="shared" si="35"/>
        <v>Avg +0.48%</v>
      </c>
    </row>
    <row r="366" spans="1:8" x14ac:dyDescent="0.35">
      <c r="A366" t="s">
        <v>309</v>
      </c>
      <c r="B366" s="1" t="b">
        <f>ISNUMBER(LEFT(A366,4)+1-1)</f>
        <v>0</v>
      </c>
      <c r="C366" s="1" t="str">
        <f t="shared" si="36"/>
        <v>2025-10-21</v>
      </c>
      <c r="D366" t="str">
        <f t="shared" si="31"/>
        <v>MSFT +1.12%</v>
      </c>
      <c r="E366" t="str">
        <f t="shared" si="32"/>
        <v>NVO +0.88%</v>
      </c>
      <c r="F366" t="str">
        <f t="shared" si="33"/>
        <v>BP +0.34%</v>
      </c>
      <c r="G366" t="str">
        <f t="shared" si="34"/>
        <v>Avg +0.48%</v>
      </c>
      <c r="H366">
        <f t="shared" si="35"/>
        <v>0</v>
      </c>
    </row>
    <row r="367" spans="1:8" x14ac:dyDescent="0.35">
      <c r="A367" t="s">
        <v>310</v>
      </c>
      <c r="B367" s="1" t="b">
        <f>ISNUMBER(LEFT(A367,4)+1-1)</f>
        <v>0</v>
      </c>
      <c r="C367" s="1" t="str">
        <f t="shared" si="36"/>
        <v>2025-10-21</v>
      </c>
      <c r="D367" t="str">
        <f t="shared" si="31"/>
        <v>NVO +0.88%</v>
      </c>
      <c r="E367" t="str">
        <f t="shared" si="32"/>
        <v>BP +0.34%</v>
      </c>
      <c r="F367" t="str">
        <f t="shared" si="33"/>
        <v>Avg +0.48%</v>
      </c>
      <c r="G367">
        <f t="shared" si="34"/>
        <v>0</v>
      </c>
      <c r="H367" t="str">
        <f t="shared" si="35"/>
        <v>2025-10-22 - Wednesday</v>
      </c>
    </row>
    <row r="368" spans="1:8" x14ac:dyDescent="0.35">
      <c r="A368" t="s">
        <v>311</v>
      </c>
      <c r="B368" s="1" t="b">
        <f>ISNUMBER(LEFT(A368,4)+1-1)</f>
        <v>0</v>
      </c>
      <c r="C368" s="1" t="str">
        <f t="shared" si="36"/>
        <v>2025-10-21</v>
      </c>
      <c r="D368" t="str">
        <f t="shared" si="31"/>
        <v>BP +0.34%</v>
      </c>
      <c r="E368" t="str">
        <f t="shared" si="32"/>
        <v>Avg +0.48%</v>
      </c>
      <c r="F368">
        <f t="shared" si="33"/>
        <v>0</v>
      </c>
      <c r="G368" t="str">
        <f t="shared" si="34"/>
        <v>2025-10-22 - Wednesday</v>
      </c>
      <c r="H368" t="str">
        <f t="shared" si="35"/>
        <v>Recs:</v>
      </c>
    </row>
    <row r="369" spans="1:8" x14ac:dyDescent="0.35">
      <c r="A369" t="s">
        <v>312</v>
      </c>
      <c r="B369" s="1" t="b">
        <f>ISNUMBER(LEFT(A369,4)+1-1)</f>
        <v>0</v>
      </c>
      <c r="C369" s="1" t="str">
        <f t="shared" si="36"/>
        <v>2025-10-21</v>
      </c>
      <c r="D369" t="str">
        <f t="shared" si="31"/>
        <v>Avg +0.48%</v>
      </c>
      <c r="E369">
        <f t="shared" si="32"/>
        <v>0</v>
      </c>
      <c r="F369" t="str">
        <f t="shared" si="33"/>
        <v>2025-10-22 - Wednesday</v>
      </c>
      <c r="G369" t="str">
        <f t="shared" si="34"/>
        <v>Recs:</v>
      </c>
      <c r="H369" t="str">
        <f t="shared" si="35"/>
        <v>SHB A – Handelsbanken</v>
      </c>
    </row>
    <row r="370" spans="1:8" x14ac:dyDescent="0.35">
      <c r="A370" t="s">
        <v>313</v>
      </c>
      <c r="B370" s="1" t="b">
        <f>ISNUMBER(LEFT(A370,4)+1-1)</f>
        <v>0</v>
      </c>
      <c r="C370" s="1" t="str">
        <f t="shared" si="36"/>
        <v>2025-10-21</v>
      </c>
      <c r="D370">
        <f t="shared" si="31"/>
        <v>0</v>
      </c>
      <c r="E370" t="str">
        <f t="shared" si="32"/>
        <v>2025-10-22 - Wednesday</v>
      </c>
      <c r="F370" t="str">
        <f t="shared" si="33"/>
        <v>Recs:</v>
      </c>
      <c r="G370" t="str">
        <f t="shared" si="34"/>
        <v>SHB A – Handelsbanken</v>
      </c>
      <c r="H370" t="str">
        <f t="shared" si="35"/>
        <v>SAABB – Saab AB</v>
      </c>
    </row>
    <row r="371" spans="1:8" x14ac:dyDescent="0.35">
      <c r="A371" t="s">
        <v>314</v>
      </c>
      <c r="B371" s="1" t="b">
        <f>ISNUMBER(LEFT(A371,4)+1-1)</f>
        <v>0</v>
      </c>
      <c r="C371" s="1" t="str">
        <f t="shared" si="36"/>
        <v>2025-10-21</v>
      </c>
      <c r="D371" t="str">
        <f t="shared" si="31"/>
        <v>2025-10-22 - Wednesday</v>
      </c>
      <c r="E371" t="str">
        <f t="shared" si="32"/>
        <v>Recs:</v>
      </c>
      <c r="F371" t="str">
        <f t="shared" si="33"/>
        <v>SHB A – Handelsbanken</v>
      </c>
      <c r="G371" t="str">
        <f t="shared" si="34"/>
        <v>SAABB – Saab AB</v>
      </c>
      <c r="H371" t="str">
        <f t="shared" si="35"/>
        <v>SSAB A – SSAB AB</v>
      </c>
    </row>
    <row r="372" spans="1:8" x14ac:dyDescent="0.35">
      <c r="B372" s="1" t="b">
        <f>ISNUMBER(LEFT(A372,4)+1-1)</f>
        <v>0</v>
      </c>
      <c r="C372" s="1" t="str">
        <f t="shared" si="36"/>
        <v>2025-10-21</v>
      </c>
      <c r="D372" t="str">
        <f t="shared" si="31"/>
        <v>Recs:</v>
      </c>
      <c r="E372" t="str">
        <f t="shared" si="32"/>
        <v>SHB A – Handelsbanken</v>
      </c>
      <c r="F372" t="str">
        <f t="shared" si="33"/>
        <v>SAABB – Saab AB</v>
      </c>
      <c r="G372" t="str">
        <f t="shared" si="34"/>
        <v>SSAB A – SSAB AB</v>
      </c>
      <c r="H372" t="str">
        <f t="shared" si="35"/>
        <v>AAPL – Apple Inc</v>
      </c>
    </row>
    <row r="373" spans="1:8" x14ac:dyDescent="0.35">
      <c r="A373" s="2" t="s">
        <v>315</v>
      </c>
      <c r="B373" s="1" t="b">
        <f>ISNUMBER(LEFT(A373,4)+1-1)</f>
        <v>1</v>
      </c>
      <c r="C373" s="1" t="str">
        <f t="shared" si="36"/>
        <v>2025-10-22</v>
      </c>
      <c r="D373" t="str">
        <f t="shared" si="31"/>
        <v>SHB A – Handelsbanken</v>
      </c>
      <c r="E373" t="str">
        <f t="shared" si="32"/>
        <v>SAABB – Saab AB</v>
      </c>
      <c r="F373" t="str">
        <f t="shared" si="33"/>
        <v>SSAB A – SSAB AB</v>
      </c>
      <c r="G373" t="str">
        <f t="shared" si="34"/>
        <v>AAPL – Apple Inc</v>
      </c>
      <c r="H373" t="str">
        <f t="shared" si="35"/>
        <v>SHEL – Shell plc</v>
      </c>
    </row>
    <row r="374" spans="1:8" x14ac:dyDescent="0.35">
      <c r="A374" t="s">
        <v>1</v>
      </c>
      <c r="B374" s="1" t="b">
        <f>ISNUMBER(LEFT(A374,4)+1-1)</f>
        <v>0</v>
      </c>
      <c r="C374" s="1" t="str">
        <f t="shared" si="36"/>
        <v>2025-10-22</v>
      </c>
      <c r="D374" t="str">
        <f t="shared" si="31"/>
        <v>SAABB – Saab AB</v>
      </c>
      <c r="E374" t="str">
        <f t="shared" si="32"/>
        <v>SSAB A – SSAB AB</v>
      </c>
      <c r="F374" t="str">
        <f t="shared" si="33"/>
        <v>AAPL – Apple Inc</v>
      </c>
      <c r="G374" t="str">
        <f t="shared" si="34"/>
        <v>SHEL – Shell plc</v>
      </c>
      <c r="H374" t="str">
        <f t="shared" si="35"/>
        <v>Perf (prev recs):</v>
      </c>
    </row>
    <row r="375" spans="1:8" x14ac:dyDescent="0.35">
      <c r="A375" t="s">
        <v>316</v>
      </c>
      <c r="B375" s="1" t="b">
        <f>ISNUMBER(LEFT(A375,4)+1-1)</f>
        <v>0</v>
      </c>
      <c r="C375" s="1" t="str">
        <f t="shared" si="36"/>
        <v>2025-10-22</v>
      </c>
      <c r="D375" t="str">
        <f t="shared" si="31"/>
        <v>SSAB A – SSAB AB</v>
      </c>
      <c r="E375" t="str">
        <f t="shared" si="32"/>
        <v>AAPL – Apple Inc</v>
      </c>
      <c r="F375" t="str">
        <f t="shared" si="33"/>
        <v>SHEL – Shell plc</v>
      </c>
      <c r="G375" t="str">
        <f t="shared" si="34"/>
        <v>Perf (prev recs):</v>
      </c>
      <c r="H375" t="str">
        <f t="shared" si="35"/>
        <v>SKF‑B +0.42%</v>
      </c>
    </row>
    <row r="376" spans="1:8" x14ac:dyDescent="0.35">
      <c r="A376" t="s">
        <v>317</v>
      </c>
      <c r="B376" s="1" t="b">
        <f>ISNUMBER(LEFT(A376,4)+1-1)</f>
        <v>0</v>
      </c>
      <c r="C376" s="1" t="str">
        <f t="shared" si="36"/>
        <v>2025-10-22</v>
      </c>
      <c r="D376" t="str">
        <f t="shared" si="31"/>
        <v>AAPL – Apple Inc</v>
      </c>
      <c r="E376" t="str">
        <f t="shared" si="32"/>
        <v>SHEL – Shell plc</v>
      </c>
      <c r="F376" t="str">
        <f t="shared" si="33"/>
        <v>Perf (prev recs):</v>
      </c>
      <c r="G376" t="str">
        <f t="shared" si="34"/>
        <v>SKF‑B +0.42%</v>
      </c>
      <c r="H376" t="str">
        <f t="shared" si="35"/>
        <v>EVO.ST -0.55%</v>
      </c>
    </row>
    <row r="377" spans="1:8" x14ac:dyDescent="0.35">
      <c r="A377" t="s">
        <v>318</v>
      </c>
      <c r="B377" s="1" t="b">
        <f>ISNUMBER(LEFT(A377,4)+1-1)</f>
        <v>0</v>
      </c>
      <c r="C377" s="1" t="str">
        <f t="shared" si="36"/>
        <v>2025-10-22</v>
      </c>
      <c r="D377" t="str">
        <f t="shared" si="31"/>
        <v>SHEL – Shell plc</v>
      </c>
      <c r="E377" t="str">
        <f t="shared" si="32"/>
        <v>Perf (prev recs):</v>
      </c>
      <c r="F377" t="str">
        <f t="shared" si="33"/>
        <v>SKF‑B +0.42%</v>
      </c>
      <c r="G377" t="str">
        <f t="shared" si="34"/>
        <v>EVO.ST -0.55%</v>
      </c>
      <c r="H377" t="str">
        <f t="shared" si="35"/>
        <v>MSFT +1.18%</v>
      </c>
    </row>
    <row r="378" spans="1:8" x14ac:dyDescent="0.35">
      <c r="A378" t="s">
        <v>241</v>
      </c>
      <c r="B378" s="1" t="b">
        <f>ISNUMBER(LEFT(A378,4)+1-1)</f>
        <v>0</v>
      </c>
      <c r="C378" s="1" t="str">
        <f t="shared" si="36"/>
        <v>2025-10-22</v>
      </c>
      <c r="D378" t="str">
        <f t="shared" si="31"/>
        <v>Perf (prev recs):</v>
      </c>
      <c r="E378" t="str">
        <f t="shared" si="32"/>
        <v>SKF‑B +0.42%</v>
      </c>
      <c r="F378" t="str">
        <f t="shared" si="33"/>
        <v>EVO.ST -0.55%</v>
      </c>
      <c r="G378" t="str">
        <f t="shared" si="34"/>
        <v>MSFT +1.18%</v>
      </c>
      <c r="H378" t="str">
        <f t="shared" si="35"/>
        <v>NVO -0.33%</v>
      </c>
    </row>
    <row r="379" spans="1:8" x14ac:dyDescent="0.35">
      <c r="A379" t="s">
        <v>319</v>
      </c>
      <c r="B379" s="1" t="b">
        <f>ISNUMBER(LEFT(A379,4)+1-1)</f>
        <v>0</v>
      </c>
      <c r="C379" s="1" t="str">
        <f t="shared" si="36"/>
        <v>2025-10-22</v>
      </c>
      <c r="D379" t="str">
        <f t="shared" si="31"/>
        <v>SKF‑B +0.42%</v>
      </c>
      <c r="E379" t="str">
        <f t="shared" si="32"/>
        <v>EVO.ST -0.55%</v>
      </c>
      <c r="F379" t="str">
        <f t="shared" si="33"/>
        <v>MSFT +1.18%</v>
      </c>
      <c r="G379" t="str">
        <f t="shared" si="34"/>
        <v>NVO -0.33%</v>
      </c>
      <c r="H379" t="str">
        <f t="shared" si="35"/>
        <v>BP +0.27%</v>
      </c>
    </row>
    <row r="380" spans="1:8" x14ac:dyDescent="0.35">
      <c r="A380" t="s">
        <v>7</v>
      </c>
      <c r="B380" s="1" t="b">
        <f>ISNUMBER(LEFT(A380,4)+1-1)</f>
        <v>0</v>
      </c>
      <c r="C380" s="1" t="str">
        <f t="shared" si="36"/>
        <v>2025-10-22</v>
      </c>
      <c r="D380" t="str">
        <f t="shared" si="31"/>
        <v>EVO.ST -0.55%</v>
      </c>
      <c r="E380" t="str">
        <f t="shared" si="32"/>
        <v>MSFT +1.18%</v>
      </c>
      <c r="F380" t="str">
        <f t="shared" si="33"/>
        <v>NVO -0.33%</v>
      </c>
      <c r="G380" t="str">
        <f t="shared" si="34"/>
        <v>BP +0.27%</v>
      </c>
      <c r="H380" t="str">
        <f t="shared" si="35"/>
        <v>Avg +0.20%</v>
      </c>
    </row>
    <row r="381" spans="1:8" x14ac:dyDescent="0.35">
      <c r="A381" t="s">
        <v>178</v>
      </c>
      <c r="B381" s="1" t="b">
        <f>ISNUMBER(LEFT(A381,4)+1-1)</f>
        <v>0</v>
      </c>
      <c r="C381" s="1" t="str">
        <f t="shared" si="36"/>
        <v>2025-10-22</v>
      </c>
      <c r="D381" t="str">
        <f t="shared" si="31"/>
        <v>MSFT +1.18%</v>
      </c>
      <c r="E381" t="str">
        <f t="shared" si="32"/>
        <v>NVO -0.33%</v>
      </c>
      <c r="F381" t="str">
        <f t="shared" si="33"/>
        <v>BP +0.27%</v>
      </c>
      <c r="G381" t="str">
        <f t="shared" si="34"/>
        <v>Avg +0.20%</v>
      </c>
      <c r="H381" t="str">
        <f t="shared" si="35"/>
        <v>MSFT +X.XX%</v>
      </c>
    </row>
    <row r="382" spans="1:8" x14ac:dyDescent="0.35">
      <c r="A382" t="s">
        <v>179</v>
      </c>
      <c r="B382" s="1" t="b">
        <f>ISNUMBER(LEFT(A382,4)+1-1)</f>
        <v>0</v>
      </c>
      <c r="C382" s="1" t="str">
        <f t="shared" si="36"/>
        <v>2025-10-22</v>
      </c>
      <c r="D382" t="str">
        <f t="shared" si="31"/>
        <v>NVO -0.33%</v>
      </c>
      <c r="E382" t="str">
        <f t="shared" si="32"/>
        <v>BP +0.27%</v>
      </c>
      <c r="F382" t="str">
        <f t="shared" si="33"/>
        <v>Avg +0.20%</v>
      </c>
      <c r="G382" t="str">
        <f t="shared" si="34"/>
        <v>MSFT +X.XX%</v>
      </c>
      <c r="H382" t="str">
        <f t="shared" si="35"/>
        <v>GOOGL +X.XX%</v>
      </c>
    </row>
    <row r="383" spans="1:8" x14ac:dyDescent="0.35">
      <c r="A383" t="s">
        <v>180</v>
      </c>
      <c r="B383" s="1" t="b">
        <f>ISNUMBER(LEFT(A383,4)+1-1)</f>
        <v>0</v>
      </c>
      <c r="C383" s="1" t="str">
        <f t="shared" si="36"/>
        <v>2025-10-22</v>
      </c>
      <c r="D383" t="str">
        <f t="shared" si="31"/>
        <v>BP +0.27%</v>
      </c>
      <c r="E383" t="str">
        <f t="shared" si="32"/>
        <v>Avg +0.20%</v>
      </c>
      <c r="F383" t="str">
        <f t="shared" si="33"/>
        <v>MSFT +X.XX%</v>
      </c>
      <c r="G383" t="str">
        <f t="shared" si="34"/>
        <v>GOOGL +X.XX%</v>
      </c>
      <c r="H383" t="str">
        <f t="shared" si="35"/>
        <v>TSLA +X.XX%</v>
      </c>
    </row>
    <row r="384" spans="1:8" x14ac:dyDescent="0.35">
      <c r="A384" t="s">
        <v>181</v>
      </c>
      <c r="B384" s="1" t="b">
        <f>ISNUMBER(LEFT(A384,4)+1-1)</f>
        <v>0</v>
      </c>
      <c r="C384" s="1" t="str">
        <f t="shared" si="36"/>
        <v>2025-10-22</v>
      </c>
      <c r="D384" t="str">
        <f t="shared" si="31"/>
        <v>Avg +0.20%</v>
      </c>
      <c r="E384" t="str">
        <f t="shared" si="32"/>
        <v>MSFT +X.XX%</v>
      </c>
      <c r="F384" t="str">
        <f t="shared" si="33"/>
        <v>GOOGL +X.XX%</v>
      </c>
      <c r="G384" t="str">
        <f t="shared" si="34"/>
        <v>TSLA +X.XX%</v>
      </c>
      <c r="H384" t="str">
        <f t="shared" si="35"/>
        <v>TELIA +X.XX%</v>
      </c>
    </row>
    <row r="385" spans="1:8" x14ac:dyDescent="0.35">
      <c r="A385" t="s">
        <v>182</v>
      </c>
      <c r="B385" s="1" t="b">
        <f>ISNUMBER(LEFT(A385,4)+1-1)</f>
        <v>0</v>
      </c>
      <c r="C385" s="1" t="str">
        <f t="shared" si="36"/>
        <v>2025-10-22</v>
      </c>
      <c r="D385" t="str">
        <f t="shared" si="31"/>
        <v>MSFT +X.XX%</v>
      </c>
      <c r="E385" t="str">
        <f t="shared" si="32"/>
        <v>GOOGL +X.XX%</v>
      </c>
      <c r="F385" t="str">
        <f t="shared" si="33"/>
        <v>TSLA +X.XX%</v>
      </c>
      <c r="G385" t="str">
        <f t="shared" si="34"/>
        <v>TELIA +X.XX%</v>
      </c>
      <c r="H385" t="str">
        <f t="shared" si="35"/>
        <v>Avg +X.XX%</v>
      </c>
    </row>
    <row r="386" spans="1:8" x14ac:dyDescent="0.35">
      <c r="A386" t="s">
        <v>183</v>
      </c>
      <c r="B386" s="1" t="b">
        <f>ISNUMBER(LEFT(A386,4)+1-1)</f>
        <v>0</v>
      </c>
      <c r="C386" s="1" t="str">
        <f t="shared" si="36"/>
        <v>2025-10-22</v>
      </c>
      <c r="D386" t="str">
        <f t="shared" si="31"/>
        <v>GOOGL +X.XX%</v>
      </c>
      <c r="E386" t="str">
        <f t="shared" si="32"/>
        <v>TSLA +X.XX%</v>
      </c>
      <c r="F386" t="str">
        <f t="shared" si="33"/>
        <v>TELIA +X.XX%</v>
      </c>
      <c r="G386" t="str">
        <f t="shared" si="34"/>
        <v>Avg +X.XX%</v>
      </c>
      <c r="H386" t="str">
        <f t="shared" si="35"/>
        <v>S&amp;P500 +X.XX%</v>
      </c>
    </row>
    <row r="387" spans="1:8" x14ac:dyDescent="0.35">
      <c r="A387" t="s">
        <v>214</v>
      </c>
      <c r="B387" s="1" t="b">
        <f>ISNUMBER(LEFT(A387,4)+1-1)</f>
        <v>0</v>
      </c>
      <c r="C387" s="1" t="str">
        <f t="shared" si="36"/>
        <v>2025-10-22</v>
      </c>
      <c r="D387" t="str">
        <f t="shared" ref="D387:D450" si="37">A389</f>
        <v>TSLA +X.XX%</v>
      </c>
      <c r="E387" t="str">
        <f t="shared" ref="E387:E450" si="38">A390</f>
        <v>TELIA +X.XX%</v>
      </c>
      <c r="F387" t="str">
        <f t="shared" ref="F387:F450" si="39">A391</f>
        <v>Avg +X.XX%</v>
      </c>
      <c r="G387" t="str">
        <f t="shared" ref="G387:G450" si="40">A392</f>
        <v>S&amp;P500 +X.XX%</v>
      </c>
      <c r="H387">
        <f t="shared" ref="H387:H450" si="41">A393</f>
        <v>0</v>
      </c>
    </row>
    <row r="388" spans="1:8" x14ac:dyDescent="0.35">
      <c r="A388" t="s">
        <v>215</v>
      </c>
      <c r="B388" s="1" t="b">
        <f>ISNUMBER(LEFT(A388,4)+1-1)</f>
        <v>0</v>
      </c>
      <c r="C388" s="1" t="str">
        <f t="shared" ref="C388:C451" si="42">IF(B388,LEFT(A388,10),C387)</f>
        <v>2025-10-22</v>
      </c>
      <c r="D388" t="str">
        <f t="shared" si="37"/>
        <v>TELIA +X.XX%</v>
      </c>
      <c r="E388" t="str">
        <f t="shared" si="38"/>
        <v>Avg +X.XX%</v>
      </c>
      <c r="F388" t="str">
        <f t="shared" si="39"/>
        <v>S&amp;P500 +X.XX%</v>
      </c>
      <c r="G388">
        <f t="shared" si="40"/>
        <v>0</v>
      </c>
      <c r="H388" t="str">
        <f t="shared" si="41"/>
        <v>2025‑10‑29 - Wednesday</v>
      </c>
    </row>
    <row r="389" spans="1:8" x14ac:dyDescent="0.35">
      <c r="A389" t="s">
        <v>216</v>
      </c>
      <c r="B389" s="1" t="b">
        <f>ISNUMBER(LEFT(A389,4)+1-1)</f>
        <v>0</v>
      </c>
      <c r="C389" s="1" t="str">
        <f t="shared" si="42"/>
        <v>2025-10-22</v>
      </c>
      <c r="D389" t="str">
        <f t="shared" si="37"/>
        <v>Avg +X.XX%</v>
      </c>
      <c r="E389" t="str">
        <f t="shared" si="38"/>
        <v>S&amp;P500 +X.XX%</v>
      </c>
      <c r="F389">
        <f t="shared" si="39"/>
        <v>0</v>
      </c>
      <c r="G389" t="str">
        <f t="shared" si="40"/>
        <v>2025‑10‑29 - Wednesday</v>
      </c>
      <c r="H389" t="str">
        <f t="shared" si="41"/>
        <v>Recs:</v>
      </c>
    </row>
    <row r="390" spans="1:8" x14ac:dyDescent="0.35">
      <c r="A390" t="s">
        <v>217</v>
      </c>
      <c r="B390" s="1" t="b">
        <f>ISNUMBER(LEFT(A390,4)+1-1)</f>
        <v>0</v>
      </c>
      <c r="C390" s="1" t="str">
        <f t="shared" si="42"/>
        <v>2025-10-22</v>
      </c>
      <c r="D390" t="str">
        <f t="shared" si="37"/>
        <v>S&amp;P500 +X.XX%</v>
      </c>
      <c r="E390">
        <f t="shared" si="38"/>
        <v>0</v>
      </c>
      <c r="F390" t="str">
        <f t="shared" si="39"/>
        <v>2025‑10‑29 - Wednesday</v>
      </c>
      <c r="G390" t="str">
        <f t="shared" si="40"/>
        <v>Recs:</v>
      </c>
      <c r="H390" t="str">
        <f t="shared" si="41"/>
        <v>AAPL – Apple Inc.</v>
      </c>
    </row>
    <row r="391" spans="1:8" x14ac:dyDescent="0.35">
      <c r="A391" t="s">
        <v>218</v>
      </c>
      <c r="B391" s="1" t="b">
        <f>ISNUMBER(LEFT(A391,4)+1-1)</f>
        <v>0</v>
      </c>
      <c r="C391" s="1" t="str">
        <f t="shared" si="42"/>
        <v>2025-10-22</v>
      </c>
      <c r="D391">
        <f t="shared" si="37"/>
        <v>0</v>
      </c>
      <c r="E391" t="str">
        <f t="shared" si="38"/>
        <v>2025‑10‑29 - Wednesday</v>
      </c>
      <c r="F391" t="str">
        <f t="shared" si="39"/>
        <v>Recs:</v>
      </c>
      <c r="G391" t="str">
        <f t="shared" si="40"/>
        <v>AAPL – Apple Inc.</v>
      </c>
      <c r="H391" t="str">
        <f t="shared" si="41"/>
        <v>MSFT – Microsoft Corp.</v>
      </c>
    </row>
    <row r="392" spans="1:8" x14ac:dyDescent="0.35">
      <c r="A392" t="s">
        <v>171</v>
      </c>
      <c r="B392" s="1" t="b">
        <f>ISNUMBER(LEFT(A392,4)+1-1)</f>
        <v>0</v>
      </c>
      <c r="C392" s="1" t="str">
        <f t="shared" si="42"/>
        <v>2025-10-22</v>
      </c>
      <c r="D392" t="str">
        <f t="shared" si="37"/>
        <v>2025‑10‑29 - Wednesday</v>
      </c>
      <c r="E392" t="str">
        <f t="shared" si="38"/>
        <v>Recs:</v>
      </c>
      <c r="F392" t="str">
        <f t="shared" si="39"/>
        <v>AAPL – Apple Inc.</v>
      </c>
      <c r="G392" t="str">
        <f t="shared" si="40"/>
        <v>MSFT – Microsoft Corp.</v>
      </c>
      <c r="H392" t="str">
        <f t="shared" si="41"/>
        <v>ASML – ASML Holding NV</v>
      </c>
    </row>
    <row r="393" spans="1:8" x14ac:dyDescent="0.35">
      <c r="B393" s="1" t="b">
        <f>ISNUMBER(LEFT(A393,4)+1-1)</f>
        <v>0</v>
      </c>
      <c r="C393" s="1" t="str">
        <f t="shared" si="42"/>
        <v>2025-10-22</v>
      </c>
      <c r="D393" t="str">
        <f t="shared" si="37"/>
        <v>Recs:</v>
      </c>
      <c r="E393" t="str">
        <f t="shared" si="38"/>
        <v>AAPL – Apple Inc.</v>
      </c>
      <c r="F393" t="str">
        <f t="shared" si="39"/>
        <v>MSFT – Microsoft Corp.</v>
      </c>
      <c r="G393" t="str">
        <f t="shared" si="40"/>
        <v>ASML – ASML Holding NV</v>
      </c>
      <c r="H393" t="str">
        <f t="shared" si="41"/>
        <v>VOLV B – Volvo AB B‑share</v>
      </c>
    </row>
    <row r="394" spans="1:8" x14ac:dyDescent="0.35">
      <c r="A394" s="2" t="s">
        <v>219</v>
      </c>
      <c r="B394" s="1" t="b">
        <f>ISNUMBER(LEFT(A394,4)+1-1)</f>
        <v>1</v>
      </c>
      <c r="C394" s="1" t="str">
        <f t="shared" si="42"/>
        <v>2025‑10‑29</v>
      </c>
      <c r="D394" t="str">
        <f t="shared" si="37"/>
        <v>AAPL – Apple Inc.</v>
      </c>
      <c r="E394" t="str">
        <f t="shared" si="38"/>
        <v>MSFT – Microsoft Corp.</v>
      </c>
      <c r="F394" t="str">
        <f t="shared" si="39"/>
        <v>ASML – ASML Holding NV</v>
      </c>
      <c r="G394" t="str">
        <f t="shared" si="40"/>
        <v>VOLV B – Volvo AB B‑share</v>
      </c>
      <c r="H394" t="str">
        <f t="shared" si="41"/>
        <v>BABA – Alibaba Group Holding Ltd</v>
      </c>
    </row>
    <row r="395" spans="1:8" x14ac:dyDescent="0.35">
      <c r="A395" t="s">
        <v>1</v>
      </c>
      <c r="B395" s="1" t="b">
        <f>ISNUMBER(LEFT(A395,4)+1-1)</f>
        <v>0</v>
      </c>
      <c r="C395" s="1" t="str">
        <f t="shared" si="42"/>
        <v>2025‑10‑29</v>
      </c>
      <c r="D395" t="str">
        <f t="shared" si="37"/>
        <v>MSFT – Microsoft Corp.</v>
      </c>
      <c r="E395" t="str">
        <f t="shared" si="38"/>
        <v>ASML – ASML Holding NV</v>
      </c>
      <c r="F395" t="str">
        <f t="shared" si="39"/>
        <v>VOLV B – Volvo AB B‑share</v>
      </c>
      <c r="G395" t="str">
        <f t="shared" si="40"/>
        <v>BABA – Alibaba Group Holding Ltd</v>
      </c>
      <c r="H395" t="str">
        <f t="shared" si="41"/>
        <v>Perf (prev recs):</v>
      </c>
    </row>
    <row r="396" spans="1:8" x14ac:dyDescent="0.35">
      <c r="A396" t="s">
        <v>36</v>
      </c>
      <c r="B396" s="1" t="b">
        <f>ISNUMBER(LEFT(A396,4)+1-1)</f>
        <v>0</v>
      </c>
      <c r="C396" s="1" t="str">
        <f t="shared" si="42"/>
        <v>2025‑10‑29</v>
      </c>
      <c r="D396" t="str">
        <f t="shared" si="37"/>
        <v>ASML – ASML Holding NV</v>
      </c>
      <c r="E396" t="str">
        <f t="shared" si="38"/>
        <v>VOLV B – Volvo AB B‑share</v>
      </c>
      <c r="F396" t="str">
        <f t="shared" si="39"/>
        <v>BABA – Alibaba Group Holding Ltd</v>
      </c>
      <c r="G396" t="str">
        <f t="shared" si="40"/>
        <v>Perf (prev recs):</v>
      </c>
      <c r="H396" t="str">
        <f t="shared" si="41"/>
        <v>AAPL +0.75%</v>
      </c>
    </row>
    <row r="397" spans="1:8" x14ac:dyDescent="0.35">
      <c r="A397" t="s">
        <v>196</v>
      </c>
      <c r="B397" s="1" t="b">
        <f>ISNUMBER(LEFT(A397,4)+1-1)</f>
        <v>0</v>
      </c>
      <c r="C397" s="1" t="str">
        <f t="shared" si="42"/>
        <v>2025‑10‑29</v>
      </c>
      <c r="D397" t="str">
        <f t="shared" si="37"/>
        <v>VOLV B – Volvo AB B‑share</v>
      </c>
      <c r="E397" t="str">
        <f t="shared" si="38"/>
        <v>BABA – Alibaba Group Holding Ltd</v>
      </c>
      <c r="F397" t="str">
        <f t="shared" si="39"/>
        <v>Perf (prev recs):</v>
      </c>
      <c r="G397" t="str">
        <f t="shared" si="40"/>
        <v>AAPL +0.75%</v>
      </c>
      <c r="H397" t="str">
        <f t="shared" si="41"/>
        <v>MSFT +1.10%</v>
      </c>
    </row>
    <row r="398" spans="1:8" x14ac:dyDescent="0.35">
      <c r="A398" t="s">
        <v>220</v>
      </c>
      <c r="B398" s="1" t="b">
        <f>ISNUMBER(LEFT(A398,4)+1-1)</f>
        <v>0</v>
      </c>
      <c r="C398" s="1" t="str">
        <f t="shared" si="42"/>
        <v>2025‑10‑29</v>
      </c>
      <c r="D398" t="str">
        <f t="shared" si="37"/>
        <v>BABA – Alibaba Group Holding Ltd</v>
      </c>
      <c r="E398" t="str">
        <f t="shared" si="38"/>
        <v>Perf (prev recs):</v>
      </c>
      <c r="F398" t="str">
        <f t="shared" si="39"/>
        <v>AAPL +0.75%</v>
      </c>
      <c r="G398" t="str">
        <f t="shared" si="40"/>
        <v>MSFT +1.10%</v>
      </c>
      <c r="H398" t="str">
        <f t="shared" si="41"/>
        <v>ASML +0.65%</v>
      </c>
    </row>
    <row r="399" spans="1:8" x14ac:dyDescent="0.35">
      <c r="A399" t="s">
        <v>221</v>
      </c>
      <c r="B399" s="1" t="b">
        <f>ISNUMBER(LEFT(A399,4)+1-1)</f>
        <v>0</v>
      </c>
      <c r="C399" s="1" t="str">
        <f t="shared" si="42"/>
        <v>2025‑10‑29</v>
      </c>
      <c r="D399" t="str">
        <f t="shared" si="37"/>
        <v>Perf (prev recs):</v>
      </c>
      <c r="E399" t="str">
        <f t="shared" si="38"/>
        <v>AAPL +0.75%</v>
      </c>
      <c r="F399" t="str">
        <f t="shared" si="39"/>
        <v>MSFT +1.10%</v>
      </c>
      <c r="G399" t="str">
        <f t="shared" si="40"/>
        <v>ASML +0.65%</v>
      </c>
      <c r="H399" t="str">
        <f t="shared" si="41"/>
        <v>VOLV B +0.50%</v>
      </c>
    </row>
    <row r="400" spans="1:8" x14ac:dyDescent="0.35">
      <c r="A400" t="s">
        <v>222</v>
      </c>
      <c r="B400" s="1" t="b">
        <f>ISNUMBER(LEFT(A400,4)+1-1)</f>
        <v>0</v>
      </c>
      <c r="C400" s="1" t="str">
        <f t="shared" si="42"/>
        <v>2025‑10‑29</v>
      </c>
      <c r="D400" t="str">
        <f t="shared" si="37"/>
        <v>AAPL +0.75%</v>
      </c>
      <c r="E400" t="str">
        <f t="shared" si="38"/>
        <v>MSFT +1.10%</v>
      </c>
      <c r="F400" t="str">
        <f t="shared" si="39"/>
        <v>ASML +0.65%</v>
      </c>
      <c r="G400" t="str">
        <f t="shared" si="40"/>
        <v>VOLV B +0.50%</v>
      </c>
      <c r="H400" t="str">
        <f t="shared" si="41"/>
        <v>BABA +0.95%</v>
      </c>
    </row>
    <row r="401" spans="1:8" x14ac:dyDescent="0.35">
      <c r="A401" t="s">
        <v>7</v>
      </c>
      <c r="B401" s="1" t="b">
        <f>ISNUMBER(LEFT(A401,4)+1-1)</f>
        <v>0</v>
      </c>
      <c r="C401" s="1" t="str">
        <f t="shared" si="42"/>
        <v>2025‑10‑29</v>
      </c>
      <c r="D401" t="str">
        <f t="shared" si="37"/>
        <v>MSFT +1.10%</v>
      </c>
      <c r="E401" t="str">
        <f t="shared" si="38"/>
        <v>ASML +0.65%</v>
      </c>
      <c r="F401" t="str">
        <f t="shared" si="39"/>
        <v>VOLV B +0.50%</v>
      </c>
      <c r="G401" t="str">
        <f t="shared" si="40"/>
        <v>BABA +0.95%</v>
      </c>
      <c r="H401" t="str">
        <f t="shared" si="41"/>
        <v>Avg +0.79%</v>
      </c>
    </row>
    <row r="402" spans="1:8" x14ac:dyDescent="0.35">
      <c r="A402" t="s">
        <v>223</v>
      </c>
      <c r="B402" s="1" t="b">
        <f>ISNUMBER(LEFT(A402,4)+1-1)</f>
        <v>0</v>
      </c>
      <c r="C402" s="1" t="str">
        <f t="shared" si="42"/>
        <v>2025‑10‑29</v>
      </c>
      <c r="D402" t="str">
        <f t="shared" si="37"/>
        <v>ASML +0.65%</v>
      </c>
      <c r="E402" t="str">
        <f t="shared" si="38"/>
        <v>VOLV B +0.50%</v>
      </c>
      <c r="F402" t="str">
        <f t="shared" si="39"/>
        <v>BABA +0.95%</v>
      </c>
      <c r="G402" t="str">
        <f t="shared" si="40"/>
        <v>Avg +0.79%</v>
      </c>
      <c r="H402" t="str">
        <f t="shared" si="41"/>
        <v>S&amp;P500 +0.40%</v>
      </c>
    </row>
    <row r="403" spans="1:8" x14ac:dyDescent="0.35">
      <c r="A403" t="s">
        <v>224</v>
      </c>
      <c r="B403" s="1" t="b">
        <f>ISNUMBER(LEFT(A403,4)+1-1)</f>
        <v>0</v>
      </c>
      <c r="C403" s="1" t="str">
        <f t="shared" si="42"/>
        <v>2025‑10‑29</v>
      </c>
      <c r="D403" t="str">
        <f t="shared" si="37"/>
        <v>VOLV B +0.50%</v>
      </c>
      <c r="E403" t="str">
        <f t="shared" si="38"/>
        <v>BABA +0.95%</v>
      </c>
      <c r="F403" t="str">
        <f t="shared" si="39"/>
        <v>Avg +0.79%</v>
      </c>
      <c r="G403" t="str">
        <f t="shared" si="40"/>
        <v>S&amp;P500 +0.40%</v>
      </c>
      <c r="H403">
        <f t="shared" si="41"/>
        <v>0</v>
      </c>
    </row>
    <row r="404" spans="1:8" x14ac:dyDescent="0.35">
      <c r="A404" t="s">
        <v>225</v>
      </c>
      <c r="B404" s="1" t="b">
        <f>ISNUMBER(LEFT(A404,4)+1-1)</f>
        <v>0</v>
      </c>
      <c r="C404" s="1" t="str">
        <f t="shared" si="42"/>
        <v>2025‑10‑29</v>
      </c>
      <c r="D404" t="str">
        <f t="shared" si="37"/>
        <v>BABA +0.95%</v>
      </c>
      <c r="E404" t="str">
        <f t="shared" si="38"/>
        <v>Avg +0.79%</v>
      </c>
      <c r="F404" t="str">
        <f t="shared" si="39"/>
        <v>S&amp;P500 +0.40%</v>
      </c>
      <c r="G404">
        <f t="shared" si="40"/>
        <v>0</v>
      </c>
      <c r="H404" t="str">
        <f t="shared" si="41"/>
        <v>2025-10-30 - Thursday</v>
      </c>
    </row>
    <row r="405" spans="1:8" x14ac:dyDescent="0.35">
      <c r="A405" t="s">
        <v>226</v>
      </c>
      <c r="B405" s="1" t="b">
        <f>ISNUMBER(LEFT(A405,4)+1-1)</f>
        <v>0</v>
      </c>
      <c r="C405" s="1" t="str">
        <f t="shared" si="42"/>
        <v>2025‑10‑29</v>
      </c>
      <c r="D405" t="str">
        <f t="shared" si="37"/>
        <v>Avg +0.79%</v>
      </c>
      <c r="E405" t="str">
        <f t="shared" si="38"/>
        <v>S&amp;P500 +0.40%</v>
      </c>
      <c r="F405">
        <f t="shared" si="39"/>
        <v>0</v>
      </c>
      <c r="G405" t="str">
        <f t="shared" si="40"/>
        <v>2025-10-30 - Thursday</v>
      </c>
      <c r="H405" t="str">
        <f t="shared" si="41"/>
        <v>Recs:</v>
      </c>
    </row>
    <row r="406" spans="1:8" x14ac:dyDescent="0.35">
      <c r="A406" t="s">
        <v>227</v>
      </c>
      <c r="B406" s="1" t="b">
        <f>ISNUMBER(LEFT(A406,4)+1-1)</f>
        <v>0</v>
      </c>
      <c r="C406" s="1" t="str">
        <f t="shared" si="42"/>
        <v>2025‑10‑29</v>
      </c>
      <c r="D406" t="str">
        <f t="shared" si="37"/>
        <v>S&amp;P500 +0.40%</v>
      </c>
      <c r="E406">
        <f t="shared" si="38"/>
        <v>0</v>
      </c>
      <c r="F406" t="str">
        <f t="shared" si="39"/>
        <v>2025-10-30 - Thursday</v>
      </c>
      <c r="G406" t="str">
        <f t="shared" si="40"/>
        <v>Recs:</v>
      </c>
      <c r="H406" t="str">
        <f t="shared" si="41"/>
        <v>TER – Teradyne Inc.</v>
      </c>
    </row>
    <row r="407" spans="1:8" x14ac:dyDescent="0.35">
      <c r="A407" t="s">
        <v>228</v>
      </c>
      <c r="B407" s="1" t="b">
        <f>ISNUMBER(LEFT(A407,4)+1-1)</f>
        <v>0</v>
      </c>
      <c r="C407" s="1" t="str">
        <f t="shared" si="42"/>
        <v>2025‑10‑29</v>
      </c>
      <c r="D407">
        <f t="shared" si="37"/>
        <v>0</v>
      </c>
      <c r="E407" t="str">
        <f t="shared" si="38"/>
        <v>2025-10-30 - Thursday</v>
      </c>
      <c r="F407" t="str">
        <f t="shared" si="39"/>
        <v>Recs:</v>
      </c>
      <c r="G407" t="str">
        <f t="shared" si="40"/>
        <v>TER – Teradyne Inc.</v>
      </c>
      <c r="H407" t="str">
        <f t="shared" si="41"/>
        <v>CAT – Caterpillar Inc.</v>
      </c>
    </row>
    <row r="408" spans="1:8" x14ac:dyDescent="0.35">
      <c r="A408" t="s">
        <v>229</v>
      </c>
      <c r="B408" s="1" t="b">
        <f>ISNUMBER(LEFT(A408,4)+1-1)</f>
        <v>0</v>
      </c>
      <c r="C408" s="1" t="str">
        <f t="shared" si="42"/>
        <v>2025‑10‑29</v>
      </c>
      <c r="D408" t="str">
        <f t="shared" si="37"/>
        <v>2025-10-30 - Thursday</v>
      </c>
      <c r="E408" t="str">
        <f t="shared" si="38"/>
        <v>Recs:</v>
      </c>
      <c r="F408" t="str">
        <f t="shared" si="39"/>
        <v>TER – Teradyne Inc.</v>
      </c>
      <c r="G408" t="str">
        <f t="shared" si="40"/>
        <v>CAT – Caterpillar Inc.</v>
      </c>
      <c r="H408" t="str">
        <f t="shared" si="41"/>
        <v>W – Wayfair Inc.</v>
      </c>
    </row>
    <row r="409" spans="1:8" x14ac:dyDescent="0.35">
      <c r="B409" s="1" t="b">
        <f>ISNUMBER(LEFT(A409,4)+1-1)</f>
        <v>0</v>
      </c>
      <c r="C409" s="1" t="str">
        <f t="shared" si="42"/>
        <v>2025‑10‑29</v>
      </c>
      <c r="D409" t="str">
        <f t="shared" si="37"/>
        <v>Recs:</v>
      </c>
      <c r="E409" t="str">
        <f t="shared" si="38"/>
        <v>TER – Teradyne Inc.</v>
      </c>
      <c r="F409" t="str">
        <f t="shared" si="39"/>
        <v>CAT – Caterpillar Inc.</v>
      </c>
      <c r="G409" t="str">
        <f t="shared" si="40"/>
        <v>W – Wayfair Inc.</v>
      </c>
      <c r="H409" t="str">
        <f t="shared" si="41"/>
        <v>AVGO – Broadcom Inc.</v>
      </c>
    </row>
    <row r="410" spans="1:8" x14ac:dyDescent="0.35">
      <c r="A410" s="2" t="s">
        <v>230</v>
      </c>
      <c r="B410" s="1" t="b">
        <f>ISNUMBER(LEFT(A410,4)+1-1)</f>
        <v>1</v>
      </c>
      <c r="C410" s="1" t="str">
        <f t="shared" si="42"/>
        <v>2025-10-30</v>
      </c>
      <c r="D410" t="str">
        <f t="shared" si="37"/>
        <v>TER – Teradyne Inc.</v>
      </c>
      <c r="E410" t="str">
        <f t="shared" si="38"/>
        <v>CAT – Caterpillar Inc.</v>
      </c>
      <c r="F410" t="str">
        <f t="shared" si="39"/>
        <v>W – Wayfair Inc.</v>
      </c>
      <c r="G410" t="str">
        <f t="shared" si="40"/>
        <v>AVGO – Broadcom Inc.</v>
      </c>
      <c r="H410" t="str">
        <f t="shared" si="41"/>
        <v>AMD – Advanced Micro Devices Inc.</v>
      </c>
    </row>
    <row r="411" spans="1:8" x14ac:dyDescent="0.35">
      <c r="A411" t="s">
        <v>1</v>
      </c>
      <c r="B411" s="1" t="b">
        <f>ISNUMBER(LEFT(A411,4)+1-1)</f>
        <v>0</v>
      </c>
      <c r="C411" s="1" t="str">
        <f t="shared" si="42"/>
        <v>2025-10-30</v>
      </c>
      <c r="D411" t="str">
        <f t="shared" si="37"/>
        <v>CAT – Caterpillar Inc.</v>
      </c>
      <c r="E411" t="str">
        <f t="shared" si="38"/>
        <v>W – Wayfair Inc.</v>
      </c>
      <c r="F411" t="str">
        <f t="shared" si="39"/>
        <v>AVGO – Broadcom Inc.</v>
      </c>
      <c r="G411" t="str">
        <f t="shared" si="40"/>
        <v>AMD – Advanced Micro Devices Inc.</v>
      </c>
      <c r="H411" t="str">
        <f t="shared" si="41"/>
        <v>Perf (prev recs):</v>
      </c>
    </row>
    <row r="412" spans="1:8" x14ac:dyDescent="0.35">
      <c r="A412" t="s">
        <v>231</v>
      </c>
      <c r="B412" s="1" t="b">
        <f>ISNUMBER(LEFT(A412,4)+1-1)</f>
        <v>0</v>
      </c>
      <c r="C412" s="1" t="str">
        <f t="shared" si="42"/>
        <v>2025-10-30</v>
      </c>
      <c r="D412" t="str">
        <f t="shared" si="37"/>
        <v>W – Wayfair Inc.</v>
      </c>
      <c r="E412" t="str">
        <f t="shared" si="38"/>
        <v>AVGO – Broadcom Inc.</v>
      </c>
      <c r="F412" t="str">
        <f t="shared" si="39"/>
        <v>AMD – Advanced Micro Devices Inc.</v>
      </c>
      <c r="G412" t="str">
        <f t="shared" si="40"/>
        <v>Perf (prev recs):</v>
      </c>
      <c r="H412" t="str">
        <f t="shared" si="41"/>
        <v>N/A</v>
      </c>
    </row>
    <row r="413" spans="1:8" x14ac:dyDescent="0.35">
      <c r="A413" t="s">
        <v>154</v>
      </c>
      <c r="B413" s="1" t="b">
        <f>ISNUMBER(LEFT(A413,4)+1-1)</f>
        <v>0</v>
      </c>
      <c r="C413" s="1" t="str">
        <f t="shared" si="42"/>
        <v>2025-10-30</v>
      </c>
      <c r="D413" t="str">
        <f t="shared" si="37"/>
        <v>AVGO – Broadcom Inc.</v>
      </c>
      <c r="E413" t="str">
        <f t="shared" si="38"/>
        <v>AMD – Advanced Micro Devices Inc.</v>
      </c>
      <c r="F413" t="str">
        <f t="shared" si="39"/>
        <v>Perf (prev recs):</v>
      </c>
      <c r="G413" t="str">
        <f t="shared" si="40"/>
        <v>N/A</v>
      </c>
      <c r="H413" t="str">
        <f t="shared" si="41"/>
        <v>N/A</v>
      </c>
    </row>
    <row r="414" spans="1:8" x14ac:dyDescent="0.35">
      <c r="A414" t="s">
        <v>232</v>
      </c>
      <c r="B414" s="1" t="b">
        <f>ISNUMBER(LEFT(A414,4)+1-1)</f>
        <v>0</v>
      </c>
      <c r="C414" s="1" t="str">
        <f t="shared" si="42"/>
        <v>2025-10-30</v>
      </c>
      <c r="D414" t="str">
        <f t="shared" si="37"/>
        <v>AMD – Advanced Micro Devices Inc.</v>
      </c>
      <c r="E414" t="str">
        <f t="shared" si="38"/>
        <v>Perf (prev recs):</v>
      </c>
      <c r="F414" t="str">
        <f t="shared" si="39"/>
        <v>N/A</v>
      </c>
      <c r="G414" t="str">
        <f t="shared" si="40"/>
        <v>N/A</v>
      </c>
      <c r="H414" t="str">
        <f t="shared" si="41"/>
        <v>N/A</v>
      </c>
    </row>
    <row r="415" spans="1:8" x14ac:dyDescent="0.35">
      <c r="A415" t="s">
        <v>233</v>
      </c>
      <c r="B415" s="1" t="b">
        <f>ISNUMBER(LEFT(A415,4)+1-1)</f>
        <v>0</v>
      </c>
      <c r="C415" s="1" t="str">
        <f t="shared" si="42"/>
        <v>2025-10-30</v>
      </c>
      <c r="D415" t="str">
        <f t="shared" si="37"/>
        <v>Perf (prev recs):</v>
      </c>
      <c r="E415" t="str">
        <f t="shared" si="38"/>
        <v>N/A</v>
      </c>
      <c r="F415" t="str">
        <f t="shared" si="39"/>
        <v>N/A</v>
      </c>
      <c r="G415" t="str">
        <f t="shared" si="40"/>
        <v>N/A</v>
      </c>
      <c r="H415" t="str">
        <f t="shared" si="41"/>
        <v>N/A</v>
      </c>
    </row>
    <row r="416" spans="1:8" x14ac:dyDescent="0.35">
      <c r="A416" t="s">
        <v>12</v>
      </c>
      <c r="B416" s="1" t="b">
        <f>ISNUMBER(LEFT(A416,4)+1-1)</f>
        <v>0</v>
      </c>
      <c r="C416" s="1" t="str">
        <f t="shared" si="42"/>
        <v>2025-10-30</v>
      </c>
      <c r="D416" t="str">
        <f t="shared" si="37"/>
        <v>N/A</v>
      </c>
      <c r="E416" t="str">
        <f t="shared" si="38"/>
        <v>N/A</v>
      </c>
      <c r="F416" t="str">
        <f t="shared" si="39"/>
        <v>N/A</v>
      </c>
      <c r="G416" t="str">
        <f t="shared" si="40"/>
        <v>N/A</v>
      </c>
      <c r="H416" t="str">
        <f t="shared" si="41"/>
        <v>N/A</v>
      </c>
    </row>
    <row r="417" spans="1:8" x14ac:dyDescent="0.35">
      <c r="A417" t="s">
        <v>7</v>
      </c>
      <c r="B417" s="1" t="b">
        <f>ISNUMBER(LEFT(A417,4)+1-1)</f>
        <v>0</v>
      </c>
      <c r="C417" s="1" t="str">
        <f t="shared" si="42"/>
        <v>2025-10-30</v>
      </c>
      <c r="D417" t="str">
        <f t="shared" si="37"/>
        <v>N/A</v>
      </c>
      <c r="E417" t="str">
        <f t="shared" si="38"/>
        <v>N/A</v>
      </c>
      <c r="F417" t="str">
        <f t="shared" si="39"/>
        <v>N/A</v>
      </c>
      <c r="G417" t="str">
        <f t="shared" si="40"/>
        <v>N/A</v>
      </c>
      <c r="H417" t="str">
        <f t="shared" si="41"/>
        <v>Avg N/A</v>
      </c>
    </row>
    <row r="418" spans="1:8" x14ac:dyDescent="0.35">
      <c r="A418" t="s">
        <v>8</v>
      </c>
      <c r="B418" s="1" t="b">
        <f>ISNUMBER(LEFT(A418,4)+1-1)</f>
        <v>0</v>
      </c>
      <c r="C418" s="1" t="str">
        <f t="shared" si="42"/>
        <v>2025-10-30</v>
      </c>
      <c r="D418" t="str">
        <f t="shared" si="37"/>
        <v>N/A</v>
      </c>
      <c r="E418" t="str">
        <f t="shared" si="38"/>
        <v>N/A</v>
      </c>
      <c r="F418" t="str">
        <f t="shared" si="39"/>
        <v>N/A</v>
      </c>
      <c r="G418" t="str">
        <f t="shared" si="40"/>
        <v>Avg N/A</v>
      </c>
      <c r="H418" t="str">
        <f t="shared" si="41"/>
        <v>S&amp;P500 +0.20% nypost.com+1</v>
      </c>
    </row>
    <row r="419" spans="1:8" x14ac:dyDescent="0.35">
      <c r="A419" t="s">
        <v>8</v>
      </c>
      <c r="B419" s="1" t="b">
        <f>ISNUMBER(LEFT(A419,4)+1-1)</f>
        <v>0</v>
      </c>
      <c r="C419" s="1" t="str">
        <f t="shared" si="42"/>
        <v>2025-10-30</v>
      </c>
      <c r="D419" t="str">
        <f t="shared" si="37"/>
        <v>N/A</v>
      </c>
      <c r="E419" t="str">
        <f t="shared" si="38"/>
        <v>N/A</v>
      </c>
      <c r="F419" t="str">
        <f t="shared" si="39"/>
        <v>Avg N/A</v>
      </c>
      <c r="G419" t="str">
        <f t="shared" si="40"/>
        <v>S&amp;P500 +0.20% nypost.com+1</v>
      </c>
      <c r="H419">
        <f t="shared" si="41"/>
        <v>0</v>
      </c>
    </row>
    <row r="420" spans="1:8" x14ac:dyDescent="0.35">
      <c r="A420" t="s">
        <v>8</v>
      </c>
      <c r="B420" s="1" t="b">
        <f>ISNUMBER(LEFT(A420,4)+1-1)</f>
        <v>0</v>
      </c>
      <c r="C420" s="1" t="str">
        <f t="shared" si="42"/>
        <v>2025-10-30</v>
      </c>
      <c r="D420" t="str">
        <f t="shared" si="37"/>
        <v>N/A</v>
      </c>
      <c r="E420" t="str">
        <f t="shared" si="38"/>
        <v>Avg N/A</v>
      </c>
      <c r="F420" t="str">
        <f t="shared" si="39"/>
        <v>S&amp;P500 +0.20% nypost.com+1</v>
      </c>
      <c r="G420">
        <f t="shared" si="40"/>
        <v>0</v>
      </c>
      <c r="H420" t="str">
        <f t="shared" si="41"/>
        <v>2025-10-31 - Friday</v>
      </c>
    </row>
    <row r="421" spans="1:8" x14ac:dyDescent="0.35">
      <c r="A421" t="s">
        <v>8</v>
      </c>
      <c r="B421" s="1" t="b">
        <f>ISNUMBER(LEFT(A421,4)+1-1)</f>
        <v>0</v>
      </c>
      <c r="C421" s="1" t="str">
        <f t="shared" si="42"/>
        <v>2025-10-30</v>
      </c>
      <c r="D421" t="str">
        <f t="shared" si="37"/>
        <v>Avg N/A</v>
      </c>
      <c r="E421" t="str">
        <f t="shared" si="38"/>
        <v>S&amp;P500 +0.20% nypost.com+1</v>
      </c>
      <c r="F421">
        <f t="shared" si="39"/>
        <v>0</v>
      </c>
      <c r="G421" t="str">
        <f t="shared" si="40"/>
        <v>2025-10-31 - Friday</v>
      </c>
      <c r="H421" t="str">
        <f t="shared" si="41"/>
        <v>Recs:</v>
      </c>
    </row>
    <row r="422" spans="1:8" x14ac:dyDescent="0.35">
      <c r="A422" t="s">
        <v>8</v>
      </c>
      <c r="B422" s="1" t="b">
        <f>ISNUMBER(LEFT(A422,4)+1-1)</f>
        <v>0</v>
      </c>
      <c r="C422" s="1" t="str">
        <f t="shared" si="42"/>
        <v>2025-10-30</v>
      </c>
      <c r="D422" t="str">
        <f t="shared" si="37"/>
        <v>S&amp;P500 +0.20% nypost.com+1</v>
      </c>
      <c r="E422">
        <f t="shared" si="38"/>
        <v>0</v>
      </c>
      <c r="F422" t="str">
        <f t="shared" si="39"/>
        <v>2025-10-31 - Friday</v>
      </c>
      <c r="G422" t="str">
        <f t="shared" si="40"/>
        <v>Recs:</v>
      </c>
      <c r="H422" t="str">
        <f t="shared" si="41"/>
        <v>MSFT – Microsoft Corp.</v>
      </c>
    </row>
    <row r="423" spans="1:8" x14ac:dyDescent="0.35">
      <c r="A423" t="s">
        <v>9</v>
      </c>
      <c r="B423" s="1" t="b">
        <f>ISNUMBER(LEFT(A423,4)+1-1)</f>
        <v>0</v>
      </c>
      <c r="C423" s="1" t="str">
        <f t="shared" si="42"/>
        <v>2025-10-30</v>
      </c>
      <c r="D423">
        <f t="shared" si="37"/>
        <v>0</v>
      </c>
      <c r="E423" t="str">
        <f t="shared" si="38"/>
        <v>2025-10-31 - Friday</v>
      </c>
      <c r="F423" t="str">
        <f t="shared" si="39"/>
        <v>Recs:</v>
      </c>
      <c r="G423" t="str">
        <f t="shared" si="40"/>
        <v>MSFT – Microsoft Corp.</v>
      </c>
      <c r="H423" t="str">
        <f t="shared" si="41"/>
        <v>GOOGL – Alphabet Inc.</v>
      </c>
    </row>
    <row r="424" spans="1:8" x14ac:dyDescent="0.35">
      <c r="A424" t="s">
        <v>234</v>
      </c>
      <c r="B424" s="1" t="b">
        <f>ISNUMBER(LEFT(A424,4)+1-1)</f>
        <v>0</v>
      </c>
      <c r="C424" s="1" t="str">
        <f t="shared" si="42"/>
        <v>2025-10-30</v>
      </c>
      <c r="D424" t="str">
        <f t="shared" si="37"/>
        <v>2025-10-31 - Friday</v>
      </c>
      <c r="E424" t="str">
        <f t="shared" si="38"/>
        <v>Recs:</v>
      </c>
      <c r="F424" t="str">
        <f t="shared" si="39"/>
        <v>MSFT – Microsoft Corp.</v>
      </c>
      <c r="G424" t="str">
        <f t="shared" si="40"/>
        <v>GOOGL – Alphabet Inc.</v>
      </c>
      <c r="H424" t="str">
        <f t="shared" si="41"/>
        <v>VOLV B – Volvo AB Class B</v>
      </c>
    </row>
    <row r="425" spans="1:8" x14ac:dyDescent="0.35">
      <c r="B425" s="1" t="b">
        <f>ISNUMBER(LEFT(A425,4)+1-1)</f>
        <v>0</v>
      </c>
      <c r="C425" s="1" t="str">
        <f t="shared" si="42"/>
        <v>2025-10-30</v>
      </c>
      <c r="D425" t="str">
        <f t="shared" si="37"/>
        <v>Recs:</v>
      </c>
      <c r="E425" t="str">
        <f t="shared" si="38"/>
        <v>MSFT – Microsoft Corp.</v>
      </c>
      <c r="F425" t="str">
        <f t="shared" si="39"/>
        <v>GOOGL – Alphabet Inc.</v>
      </c>
      <c r="G425" t="str">
        <f t="shared" si="40"/>
        <v>VOLV B – Volvo AB Class B</v>
      </c>
      <c r="H425" t="str">
        <f t="shared" si="41"/>
        <v>ASML – ASML Holding NV</v>
      </c>
    </row>
    <row r="426" spans="1:8" x14ac:dyDescent="0.35">
      <c r="A426" s="2" t="s">
        <v>235</v>
      </c>
      <c r="B426" s="1" t="b">
        <f>ISNUMBER(LEFT(A426,4)+1-1)</f>
        <v>1</v>
      </c>
      <c r="C426" s="1" t="str">
        <f t="shared" si="42"/>
        <v>2025-10-31</v>
      </c>
      <c r="D426" t="str">
        <f t="shared" si="37"/>
        <v>MSFT – Microsoft Corp.</v>
      </c>
      <c r="E426" t="str">
        <f t="shared" si="38"/>
        <v>GOOGL – Alphabet Inc.</v>
      </c>
      <c r="F426" t="str">
        <f t="shared" si="39"/>
        <v>VOLV B – Volvo AB Class B</v>
      </c>
      <c r="G426" t="str">
        <f t="shared" si="40"/>
        <v>ASML – ASML Holding NV</v>
      </c>
      <c r="H426" t="str">
        <f t="shared" si="41"/>
        <v>BA – Boeing Co.</v>
      </c>
    </row>
    <row r="427" spans="1:8" x14ac:dyDescent="0.35">
      <c r="A427" t="s">
        <v>1</v>
      </c>
      <c r="B427" s="1" t="b">
        <f>ISNUMBER(LEFT(A427,4)+1-1)</f>
        <v>0</v>
      </c>
      <c r="C427" s="1" t="str">
        <f t="shared" si="42"/>
        <v>2025-10-31</v>
      </c>
      <c r="D427" t="str">
        <f t="shared" si="37"/>
        <v>GOOGL – Alphabet Inc.</v>
      </c>
      <c r="E427" t="str">
        <f t="shared" si="38"/>
        <v>VOLV B – Volvo AB Class B</v>
      </c>
      <c r="F427" t="str">
        <f t="shared" si="39"/>
        <v>ASML – ASML Holding NV</v>
      </c>
      <c r="G427" t="str">
        <f t="shared" si="40"/>
        <v>BA – Boeing Co.</v>
      </c>
      <c r="H427" t="str">
        <f t="shared" si="41"/>
        <v>Perf (prev recs):</v>
      </c>
    </row>
    <row r="428" spans="1:8" x14ac:dyDescent="0.35">
      <c r="A428" t="s">
        <v>196</v>
      </c>
      <c r="B428" s="1" t="b">
        <f>ISNUMBER(LEFT(A428,4)+1-1)</f>
        <v>0</v>
      </c>
      <c r="C428" s="1" t="str">
        <f t="shared" si="42"/>
        <v>2025-10-31</v>
      </c>
      <c r="D428" t="str">
        <f t="shared" si="37"/>
        <v>VOLV B – Volvo AB Class B</v>
      </c>
      <c r="E428" t="str">
        <f t="shared" si="38"/>
        <v>ASML – ASML Holding NV</v>
      </c>
      <c r="F428" t="str">
        <f t="shared" si="39"/>
        <v>BA – Boeing Co.</v>
      </c>
      <c r="G428" t="str">
        <f t="shared" si="40"/>
        <v>Perf (prev recs):</v>
      </c>
      <c r="H428" t="str">
        <f t="shared" si="41"/>
        <v>N/A</v>
      </c>
    </row>
    <row r="429" spans="1:8" x14ac:dyDescent="0.35">
      <c r="A429" t="s">
        <v>212</v>
      </c>
      <c r="B429" s="1" t="b">
        <f>ISNUMBER(LEFT(A429,4)+1-1)</f>
        <v>0</v>
      </c>
      <c r="C429" s="1" t="str">
        <f t="shared" si="42"/>
        <v>2025-10-31</v>
      </c>
      <c r="D429" t="str">
        <f t="shared" si="37"/>
        <v>ASML – ASML Holding NV</v>
      </c>
      <c r="E429" t="str">
        <f t="shared" si="38"/>
        <v>BA – Boeing Co.</v>
      </c>
      <c r="F429" t="str">
        <f t="shared" si="39"/>
        <v>Perf (prev recs):</v>
      </c>
      <c r="G429" t="str">
        <f t="shared" si="40"/>
        <v>N/A</v>
      </c>
      <c r="H429" t="str">
        <f t="shared" si="41"/>
        <v>N/A</v>
      </c>
    </row>
    <row r="430" spans="1:8" x14ac:dyDescent="0.35">
      <c r="A430" t="s">
        <v>236</v>
      </c>
      <c r="B430" s="1" t="b">
        <f>ISNUMBER(LEFT(A430,4)+1-1)</f>
        <v>0</v>
      </c>
      <c r="C430" s="1" t="str">
        <f t="shared" si="42"/>
        <v>2025-10-31</v>
      </c>
      <c r="D430" t="str">
        <f t="shared" si="37"/>
        <v>BA – Boeing Co.</v>
      </c>
      <c r="E430" t="str">
        <f t="shared" si="38"/>
        <v>Perf (prev recs):</v>
      </c>
      <c r="F430" t="str">
        <f t="shared" si="39"/>
        <v>N/A</v>
      </c>
      <c r="G430" t="str">
        <f t="shared" si="40"/>
        <v>N/A</v>
      </c>
      <c r="H430" t="str">
        <f t="shared" si="41"/>
        <v>N/A</v>
      </c>
    </row>
    <row r="431" spans="1:8" x14ac:dyDescent="0.35">
      <c r="A431" t="s">
        <v>220</v>
      </c>
      <c r="B431" s="1" t="b">
        <f>ISNUMBER(LEFT(A431,4)+1-1)</f>
        <v>0</v>
      </c>
      <c r="C431" s="1" t="str">
        <f t="shared" si="42"/>
        <v>2025-10-31</v>
      </c>
      <c r="D431" t="str">
        <f t="shared" si="37"/>
        <v>Perf (prev recs):</v>
      </c>
      <c r="E431" t="str">
        <f t="shared" si="38"/>
        <v>N/A</v>
      </c>
      <c r="F431" t="str">
        <f t="shared" si="39"/>
        <v>N/A</v>
      </c>
      <c r="G431" t="str">
        <f t="shared" si="40"/>
        <v>N/A</v>
      </c>
      <c r="H431" t="str">
        <f t="shared" si="41"/>
        <v>N/A</v>
      </c>
    </row>
    <row r="432" spans="1:8" x14ac:dyDescent="0.35">
      <c r="A432" t="s">
        <v>237</v>
      </c>
      <c r="B432" s="1" t="b">
        <f>ISNUMBER(LEFT(A432,4)+1-1)</f>
        <v>0</v>
      </c>
      <c r="C432" s="1" t="str">
        <f t="shared" si="42"/>
        <v>2025-10-31</v>
      </c>
      <c r="D432" t="str">
        <f t="shared" si="37"/>
        <v>N/A</v>
      </c>
      <c r="E432" t="str">
        <f t="shared" si="38"/>
        <v>N/A</v>
      </c>
      <c r="F432" t="str">
        <f t="shared" si="39"/>
        <v>N/A</v>
      </c>
      <c r="G432" t="str">
        <f t="shared" si="40"/>
        <v>N/A</v>
      </c>
      <c r="H432" t="str">
        <f t="shared" si="41"/>
        <v>N/A</v>
      </c>
    </row>
    <row r="433" spans="1:8" x14ac:dyDescent="0.35">
      <c r="A433" t="s">
        <v>7</v>
      </c>
      <c r="B433" s="1" t="b">
        <f>ISNUMBER(LEFT(A433,4)+1-1)</f>
        <v>0</v>
      </c>
      <c r="C433" s="1" t="str">
        <f t="shared" si="42"/>
        <v>2025-10-31</v>
      </c>
      <c r="D433" t="str">
        <f t="shared" si="37"/>
        <v>N/A</v>
      </c>
      <c r="E433" t="str">
        <f t="shared" si="38"/>
        <v>N/A</v>
      </c>
      <c r="F433" t="str">
        <f t="shared" si="39"/>
        <v>N/A</v>
      </c>
      <c r="G433" t="str">
        <f t="shared" si="40"/>
        <v>N/A</v>
      </c>
      <c r="H433" t="str">
        <f t="shared" si="41"/>
        <v>Avg N/A</v>
      </c>
    </row>
    <row r="434" spans="1:8" x14ac:dyDescent="0.35">
      <c r="A434" t="s">
        <v>8</v>
      </c>
      <c r="B434" s="1" t="b">
        <f>ISNUMBER(LEFT(A434,4)+1-1)</f>
        <v>0</v>
      </c>
      <c r="C434" s="1" t="str">
        <f t="shared" si="42"/>
        <v>2025-10-31</v>
      </c>
      <c r="D434" t="str">
        <f t="shared" si="37"/>
        <v>N/A</v>
      </c>
      <c r="E434" t="str">
        <f t="shared" si="38"/>
        <v>N/A</v>
      </c>
      <c r="F434" t="str">
        <f t="shared" si="39"/>
        <v>N/A</v>
      </c>
      <c r="G434" t="str">
        <f t="shared" si="40"/>
        <v>Avg N/A</v>
      </c>
      <c r="H434" t="str">
        <f t="shared" si="41"/>
        <v>S&amp;P500 +0.25%</v>
      </c>
    </row>
    <row r="435" spans="1:8" x14ac:dyDescent="0.35">
      <c r="A435" t="s">
        <v>8</v>
      </c>
      <c r="B435" s="1" t="b">
        <f>ISNUMBER(LEFT(A435,4)+1-1)</f>
        <v>0</v>
      </c>
      <c r="C435" s="1" t="str">
        <f t="shared" si="42"/>
        <v>2025-10-31</v>
      </c>
      <c r="D435" t="str">
        <f t="shared" si="37"/>
        <v>N/A</v>
      </c>
      <c r="E435" t="str">
        <f t="shared" si="38"/>
        <v>N/A</v>
      </c>
      <c r="F435" t="str">
        <f t="shared" si="39"/>
        <v>Avg N/A</v>
      </c>
      <c r="G435" t="str">
        <f t="shared" si="40"/>
        <v>S&amp;P500 +0.25%</v>
      </c>
      <c r="H435">
        <f t="shared" si="41"/>
        <v>0</v>
      </c>
    </row>
    <row r="436" spans="1:8" x14ac:dyDescent="0.35">
      <c r="A436" t="s">
        <v>8</v>
      </c>
      <c r="B436" s="1" t="b">
        <f>ISNUMBER(LEFT(A436,4)+1-1)</f>
        <v>0</v>
      </c>
      <c r="C436" s="1" t="str">
        <f t="shared" si="42"/>
        <v>2025-10-31</v>
      </c>
      <c r="D436" t="str">
        <f t="shared" si="37"/>
        <v>N/A</v>
      </c>
      <c r="E436" t="str">
        <f t="shared" si="38"/>
        <v>Avg N/A</v>
      </c>
      <c r="F436" t="str">
        <f t="shared" si="39"/>
        <v>S&amp;P500 +0.25%</v>
      </c>
      <c r="G436">
        <f t="shared" si="40"/>
        <v>0</v>
      </c>
      <c r="H436" t="str">
        <f t="shared" si="41"/>
        <v>2025-11-01 - Saturday</v>
      </c>
    </row>
    <row r="437" spans="1:8" x14ac:dyDescent="0.35">
      <c r="A437" t="s">
        <v>8</v>
      </c>
      <c r="B437" s="1" t="b">
        <f>ISNUMBER(LEFT(A437,4)+1-1)</f>
        <v>0</v>
      </c>
      <c r="C437" s="1" t="str">
        <f t="shared" si="42"/>
        <v>2025-10-31</v>
      </c>
      <c r="D437" t="str">
        <f t="shared" si="37"/>
        <v>Avg N/A</v>
      </c>
      <c r="E437" t="str">
        <f t="shared" si="38"/>
        <v>S&amp;P500 +0.25%</v>
      </c>
      <c r="F437">
        <f t="shared" si="39"/>
        <v>0</v>
      </c>
      <c r="G437" t="str">
        <f t="shared" si="40"/>
        <v>2025-11-01 - Saturday</v>
      </c>
      <c r="H437" t="str">
        <f t="shared" si="41"/>
        <v>Recs:</v>
      </c>
    </row>
    <row r="438" spans="1:8" x14ac:dyDescent="0.35">
      <c r="A438" t="s">
        <v>8</v>
      </c>
      <c r="B438" s="1" t="b">
        <f>ISNUMBER(LEFT(A438,4)+1-1)</f>
        <v>0</v>
      </c>
      <c r="C438" s="1" t="str">
        <f t="shared" si="42"/>
        <v>2025-10-31</v>
      </c>
      <c r="D438" t="str">
        <f t="shared" si="37"/>
        <v>S&amp;P500 +0.25%</v>
      </c>
      <c r="E438">
        <f t="shared" si="38"/>
        <v>0</v>
      </c>
      <c r="F438" t="str">
        <f t="shared" si="39"/>
        <v>2025-11-01 - Saturday</v>
      </c>
      <c r="G438" t="str">
        <f t="shared" si="40"/>
        <v>Recs:</v>
      </c>
      <c r="H438" t="str">
        <f t="shared" si="41"/>
        <v>AMZN – Amazon.com Inc</v>
      </c>
    </row>
    <row r="439" spans="1:8" x14ac:dyDescent="0.35">
      <c r="A439" t="s">
        <v>9</v>
      </c>
      <c r="B439" s="1" t="b">
        <f>ISNUMBER(LEFT(A439,4)+1-1)</f>
        <v>0</v>
      </c>
      <c r="C439" s="1" t="str">
        <f t="shared" si="42"/>
        <v>2025-10-31</v>
      </c>
      <c r="D439">
        <f t="shared" si="37"/>
        <v>0</v>
      </c>
      <c r="E439" t="str">
        <f t="shared" si="38"/>
        <v>2025-11-01 - Saturday</v>
      </c>
      <c r="F439" t="str">
        <f t="shared" si="39"/>
        <v>Recs:</v>
      </c>
      <c r="G439" t="str">
        <f t="shared" si="40"/>
        <v>AMZN – Amazon.com Inc</v>
      </c>
      <c r="H439" t="str">
        <f t="shared" si="41"/>
        <v>AAPL – Apple Inc</v>
      </c>
    </row>
    <row r="440" spans="1:8" x14ac:dyDescent="0.35">
      <c r="A440" t="s">
        <v>238</v>
      </c>
      <c r="B440" s="1" t="b">
        <f>ISNUMBER(LEFT(A440,4)+1-1)</f>
        <v>0</v>
      </c>
      <c r="C440" s="1" t="str">
        <f t="shared" si="42"/>
        <v>2025-10-31</v>
      </c>
      <c r="D440" t="str">
        <f t="shared" si="37"/>
        <v>2025-11-01 - Saturday</v>
      </c>
      <c r="E440" t="str">
        <f t="shared" si="38"/>
        <v>Recs:</v>
      </c>
      <c r="F440" t="str">
        <f t="shared" si="39"/>
        <v>AMZN – Amazon.com Inc</v>
      </c>
      <c r="G440" t="str">
        <f t="shared" si="40"/>
        <v>AAPL – Apple Inc</v>
      </c>
      <c r="H440" t="str">
        <f t="shared" si="41"/>
        <v>EQTAB.ST – EQT AB Class B</v>
      </c>
    </row>
    <row r="441" spans="1:8" x14ac:dyDescent="0.35">
      <c r="B441" s="1" t="b">
        <f>ISNUMBER(LEFT(A441,4)+1-1)</f>
        <v>0</v>
      </c>
      <c r="C441" s="1" t="str">
        <f t="shared" si="42"/>
        <v>2025-10-31</v>
      </c>
      <c r="D441" t="str">
        <f t="shared" si="37"/>
        <v>Recs:</v>
      </c>
      <c r="E441" t="str">
        <f t="shared" si="38"/>
        <v>AMZN – Amazon.com Inc</v>
      </c>
      <c r="F441" t="str">
        <f t="shared" si="39"/>
        <v>AAPL – Apple Inc</v>
      </c>
      <c r="G441" t="str">
        <f t="shared" si="40"/>
        <v>EQTAB.ST – EQT AB Class B</v>
      </c>
      <c r="H441" t="str">
        <f t="shared" si="41"/>
        <v>CAT – Caterpillar Inc</v>
      </c>
    </row>
    <row r="442" spans="1:8" x14ac:dyDescent="0.35">
      <c r="A442" s="2" t="s">
        <v>239</v>
      </c>
      <c r="B442" s="1" t="b">
        <f>ISNUMBER(LEFT(A442,4)+1-1)</f>
        <v>1</v>
      </c>
      <c r="C442" s="1" t="str">
        <f t="shared" si="42"/>
        <v>2025-11-01</v>
      </c>
      <c r="D442" t="str">
        <f t="shared" si="37"/>
        <v>AMZN – Amazon.com Inc</v>
      </c>
      <c r="E442" t="str">
        <f t="shared" si="38"/>
        <v>AAPL – Apple Inc</v>
      </c>
      <c r="F442" t="str">
        <f t="shared" si="39"/>
        <v>EQTAB.ST – EQT AB Class B</v>
      </c>
      <c r="G442" t="str">
        <f t="shared" si="40"/>
        <v>CAT – Caterpillar Inc</v>
      </c>
      <c r="H442" t="str">
        <f t="shared" si="41"/>
        <v>GOOGL – Alphabet Inc</v>
      </c>
    </row>
    <row r="443" spans="1:8" x14ac:dyDescent="0.35">
      <c r="A443" t="s">
        <v>1</v>
      </c>
      <c r="B443" s="1" t="b">
        <f>ISNUMBER(LEFT(A443,4)+1-1)</f>
        <v>0</v>
      </c>
      <c r="C443" s="1" t="str">
        <f t="shared" si="42"/>
        <v>2025-11-01</v>
      </c>
      <c r="D443" t="str">
        <f t="shared" si="37"/>
        <v>AAPL – Apple Inc</v>
      </c>
      <c r="E443" t="str">
        <f t="shared" si="38"/>
        <v>EQTAB.ST – EQT AB Class B</v>
      </c>
      <c r="F443" t="str">
        <f t="shared" si="39"/>
        <v>CAT – Caterpillar Inc</v>
      </c>
      <c r="G443" t="str">
        <f t="shared" si="40"/>
        <v>GOOGL – Alphabet Inc</v>
      </c>
      <c r="H443" t="str">
        <f t="shared" si="41"/>
        <v>Perf (prev recs):</v>
      </c>
    </row>
    <row r="444" spans="1:8" x14ac:dyDescent="0.35">
      <c r="A444" t="s">
        <v>240</v>
      </c>
      <c r="B444" s="1" t="b">
        <f>ISNUMBER(LEFT(A444,4)+1-1)</f>
        <v>0</v>
      </c>
      <c r="C444" s="1" t="str">
        <f t="shared" si="42"/>
        <v>2025-11-01</v>
      </c>
      <c r="D444" t="str">
        <f t="shared" si="37"/>
        <v>EQTAB.ST – EQT AB Class B</v>
      </c>
      <c r="E444" t="str">
        <f t="shared" si="38"/>
        <v>CAT – Caterpillar Inc</v>
      </c>
      <c r="F444" t="str">
        <f t="shared" si="39"/>
        <v>GOOGL – Alphabet Inc</v>
      </c>
      <c r="G444" t="str">
        <f t="shared" si="40"/>
        <v>Perf (prev recs):</v>
      </c>
      <c r="H444" t="str">
        <f t="shared" si="41"/>
        <v>N/A</v>
      </c>
    </row>
    <row r="445" spans="1:8" x14ac:dyDescent="0.35">
      <c r="A445" t="s">
        <v>241</v>
      </c>
      <c r="B445" s="1" t="b">
        <f>ISNUMBER(LEFT(A445,4)+1-1)</f>
        <v>0</v>
      </c>
      <c r="C445" s="1" t="str">
        <f t="shared" si="42"/>
        <v>2025-11-01</v>
      </c>
      <c r="D445" t="str">
        <f t="shared" si="37"/>
        <v>CAT – Caterpillar Inc</v>
      </c>
      <c r="E445" t="str">
        <f t="shared" si="38"/>
        <v>GOOGL – Alphabet Inc</v>
      </c>
      <c r="F445" t="str">
        <f t="shared" si="39"/>
        <v>Perf (prev recs):</v>
      </c>
      <c r="G445" t="str">
        <f t="shared" si="40"/>
        <v>N/A</v>
      </c>
      <c r="H445" t="str">
        <f t="shared" si="41"/>
        <v>N/A</v>
      </c>
    </row>
    <row r="446" spans="1:8" x14ac:dyDescent="0.35">
      <c r="A446" t="s">
        <v>242</v>
      </c>
      <c r="B446" s="1" t="b">
        <f>ISNUMBER(LEFT(A446,4)+1-1)</f>
        <v>0</v>
      </c>
      <c r="C446" s="1" t="str">
        <f t="shared" si="42"/>
        <v>2025-11-01</v>
      </c>
      <c r="D446" t="str">
        <f t="shared" si="37"/>
        <v>GOOGL – Alphabet Inc</v>
      </c>
      <c r="E446" t="str">
        <f t="shared" si="38"/>
        <v>Perf (prev recs):</v>
      </c>
      <c r="F446" t="str">
        <f t="shared" si="39"/>
        <v>N/A</v>
      </c>
      <c r="G446" t="str">
        <f t="shared" si="40"/>
        <v>N/A</v>
      </c>
      <c r="H446" t="str">
        <f t="shared" si="41"/>
        <v>N/A</v>
      </c>
    </row>
    <row r="447" spans="1:8" x14ac:dyDescent="0.35">
      <c r="A447" t="s">
        <v>243</v>
      </c>
      <c r="B447" s="1" t="b">
        <f>ISNUMBER(LEFT(A447,4)+1-1)</f>
        <v>0</v>
      </c>
      <c r="C447" s="1" t="str">
        <f t="shared" si="42"/>
        <v>2025-11-01</v>
      </c>
      <c r="D447" t="str">
        <f t="shared" si="37"/>
        <v>Perf (prev recs):</v>
      </c>
      <c r="E447" t="str">
        <f t="shared" si="38"/>
        <v>N/A</v>
      </c>
      <c r="F447" t="str">
        <f t="shared" si="39"/>
        <v>N/A</v>
      </c>
      <c r="G447" t="str">
        <f t="shared" si="40"/>
        <v>N/A</v>
      </c>
      <c r="H447" t="str">
        <f t="shared" si="41"/>
        <v>N/A</v>
      </c>
    </row>
    <row r="448" spans="1:8" x14ac:dyDescent="0.35">
      <c r="A448" t="s">
        <v>244</v>
      </c>
      <c r="B448" s="1" t="b">
        <f>ISNUMBER(LEFT(A448,4)+1-1)</f>
        <v>0</v>
      </c>
      <c r="C448" s="1" t="str">
        <f t="shared" si="42"/>
        <v>2025-11-01</v>
      </c>
      <c r="D448" t="str">
        <f t="shared" si="37"/>
        <v>N/A</v>
      </c>
      <c r="E448" t="str">
        <f t="shared" si="38"/>
        <v>N/A</v>
      </c>
      <c r="F448" t="str">
        <f t="shared" si="39"/>
        <v>N/A</v>
      </c>
      <c r="G448" t="str">
        <f t="shared" si="40"/>
        <v>N/A</v>
      </c>
      <c r="H448" t="str">
        <f t="shared" si="41"/>
        <v>N/A</v>
      </c>
    </row>
    <row r="449" spans="1:8" x14ac:dyDescent="0.35">
      <c r="A449" t="s">
        <v>7</v>
      </c>
      <c r="B449" s="1" t="b">
        <f>ISNUMBER(LEFT(A449,4)+1-1)</f>
        <v>0</v>
      </c>
      <c r="C449" s="1" t="str">
        <f t="shared" si="42"/>
        <v>2025-11-01</v>
      </c>
      <c r="D449" t="str">
        <f t="shared" si="37"/>
        <v>N/A</v>
      </c>
      <c r="E449" t="str">
        <f t="shared" si="38"/>
        <v>N/A</v>
      </c>
      <c r="F449" t="str">
        <f t="shared" si="39"/>
        <v>N/A</v>
      </c>
      <c r="G449" t="str">
        <f t="shared" si="40"/>
        <v>N/A</v>
      </c>
      <c r="H449" t="str">
        <f t="shared" si="41"/>
        <v>Avg N/A</v>
      </c>
    </row>
    <row r="450" spans="1:8" x14ac:dyDescent="0.35">
      <c r="A450" t="s">
        <v>8</v>
      </c>
      <c r="B450" s="1" t="b">
        <f>ISNUMBER(LEFT(A450,4)+1-1)</f>
        <v>0</v>
      </c>
      <c r="C450" s="1" t="str">
        <f t="shared" si="42"/>
        <v>2025-11-01</v>
      </c>
      <c r="D450" t="str">
        <f t="shared" si="37"/>
        <v>N/A</v>
      </c>
      <c r="E450" t="str">
        <f t="shared" si="38"/>
        <v>N/A</v>
      </c>
      <c r="F450" t="str">
        <f t="shared" si="39"/>
        <v>N/A</v>
      </c>
      <c r="G450" t="str">
        <f t="shared" si="40"/>
        <v>Avg N/A</v>
      </c>
      <c r="H450" t="str">
        <f t="shared" si="41"/>
        <v>S&amp;P500 +2.30% Reuters+3Reuters+3Kiplinger+3</v>
      </c>
    </row>
    <row r="451" spans="1:8" x14ac:dyDescent="0.35">
      <c r="A451" t="s">
        <v>8</v>
      </c>
      <c r="B451" s="1" t="b">
        <f>ISNUMBER(LEFT(A451,4)+1-1)</f>
        <v>0</v>
      </c>
      <c r="C451" s="1" t="str">
        <f t="shared" si="42"/>
        <v>2025-11-01</v>
      </c>
      <c r="D451" t="str">
        <f t="shared" ref="D451:D514" si="43">A453</f>
        <v>N/A</v>
      </c>
      <c r="E451" t="str">
        <f t="shared" ref="E451:E514" si="44">A454</f>
        <v>N/A</v>
      </c>
      <c r="F451" t="str">
        <f t="shared" ref="F451:F514" si="45">A455</f>
        <v>Avg N/A</v>
      </c>
      <c r="G451" t="str">
        <f t="shared" ref="G451:G514" si="46">A456</f>
        <v>S&amp;P500 +2.30% Reuters+3Reuters+3Kiplinger+3</v>
      </c>
      <c r="H451">
        <f t="shared" ref="H451:H514" si="47">A457</f>
        <v>0</v>
      </c>
    </row>
    <row r="452" spans="1:8" x14ac:dyDescent="0.35">
      <c r="A452" t="s">
        <v>8</v>
      </c>
      <c r="B452" s="1" t="b">
        <f>ISNUMBER(LEFT(A452,4)+1-1)</f>
        <v>0</v>
      </c>
      <c r="C452" s="1" t="str">
        <f t="shared" ref="C452:C515" si="48">IF(B452,LEFT(A452,10),C451)</f>
        <v>2025-11-01</v>
      </c>
      <c r="D452" t="str">
        <f t="shared" si="43"/>
        <v>N/A</v>
      </c>
      <c r="E452" t="str">
        <f t="shared" si="44"/>
        <v>Avg N/A</v>
      </c>
      <c r="F452" t="str">
        <f t="shared" si="45"/>
        <v>S&amp;P500 +2.30% Reuters+3Reuters+3Kiplinger+3</v>
      </c>
      <c r="G452">
        <f t="shared" si="46"/>
        <v>0</v>
      </c>
      <c r="H452" t="str">
        <f t="shared" si="47"/>
        <v>2025-11-02 - Sunday</v>
      </c>
    </row>
    <row r="453" spans="1:8" x14ac:dyDescent="0.35">
      <c r="A453" t="s">
        <v>8</v>
      </c>
      <c r="B453" s="1" t="b">
        <f>ISNUMBER(LEFT(A453,4)+1-1)</f>
        <v>0</v>
      </c>
      <c r="C453" s="1" t="str">
        <f t="shared" si="48"/>
        <v>2025-11-01</v>
      </c>
      <c r="D453" t="str">
        <f t="shared" si="43"/>
        <v>Avg N/A</v>
      </c>
      <c r="E453" t="str">
        <f t="shared" si="44"/>
        <v>S&amp;P500 +2.30% Reuters+3Reuters+3Kiplinger+3</v>
      </c>
      <c r="F453">
        <f t="shared" si="45"/>
        <v>0</v>
      </c>
      <c r="G453" t="str">
        <f t="shared" si="46"/>
        <v>2025-11-02 - Sunday</v>
      </c>
      <c r="H453" t="str">
        <f t="shared" si="47"/>
        <v>Recs:</v>
      </c>
    </row>
    <row r="454" spans="1:8" x14ac:dyDescent="0.35">
      <c r="A454" t="s">
        <v>8</v>
      </c>
      <c r="B454" s="1" t="b">
        <f>ISNUMBER(LEFT(A454,4)+1-1)</f>
        <v>0</v>
      </c>
      <c r="C454" s="1" t="str">
        <f t="shared" si="48"/>
        <v>2025-11-01</v>
      </c>
      <c r="D454" t="str">
        <f t="shared" si="43"/>
        <v>S&amp;P500 +2.30% Reuters+3Reuters+3Kiplinger+3</v>
      </c>
      <c r="E454">
        <f t="shared" si="44"/>
        <v>0</v>
      </c>
      <c r="F454" t="str">
        <f t="shared" si="45"/>
        <v>2025-11-02 - Sunday</v>
      </c>
      <c r="G454" t="str">
        <f t="shared" si="46"/>
        <v>Recs:</v>
      </c>
      <c r="H454" t="str">
        <f t="shared" si="47"/>
        <v>EQTAB.ST – EQT AB Class B (Sweden)</v>
      </c>
    </row>
    <row r="455" spans="1:8" x14ac:dyDescent="0.35">
      <c r="A455" t="s">
        <v>9</v>
      </c>
      <c r="B455" s="1" t="b">
        <f>ISNUMBER(LEFT(A455,4)+1-1)</f>
        <v>0</v>
      </c>
      <c r="C455" s="1" t="str">
        <f t="shared" si="48"/>
        <v>2025-11-01</v>
      </c>
      <c r="D455">
        <f t="shared" si="43"/>
        <v>0</v>
      </c>
      <c r="E455" t="str">
        <f t="shared" si="44"/>
        <v>2025-11-02 - Sunday</v>
      </c>
      <c r="F455" t="str">
        <f t="shared" si="45"/>
        <v>Recs:</v>
      </c>
      <c r="G455" t="str">
        <f t="shared" si="46"/>
        <v>EQTAB.ST – EQT AB Class B (Sweden)</v>
      </c>
      <c r="H455" t="str">
        <f t="shared" si="47"/>
        <v>MSFT – Microsoft Corporation</v>
      </c>
    </row>
    <row r="456" spans="1:8" x14ac:dyDescent="0.35">
      <c r="A456" t="s">
        <v>245</v>
      </c>
      <c r="B456" s="1" t="b">
        <f>ISNUMBER(LEFT(A456,4)+1-1)</f>
        <v>0</v>
      </c>
      <c r="C456" s="1" t="str">
        <f t="shared" si="48"/>
        <v>2025-11-01</v>
      </c>
      <c r="D456" t="str">
        <f t="shared" si="43"/>
        <v>2025-11-02 - Sunday</v>
      </c>
      <c r="E456" t="str">
        <f t="shared" si="44"/>
        <v>Recs:</v>
      </c>
      <c r="F456" t="str">
        <f t="shared" si="45"/>
        <v>EQTAB.ST – EQT AB Class B (Sweden)</v>
      </c>
      <c r="G456" t="str">
        <f t="shared" si="46"/>
        <v>MSFT – Microsoft Corporation</v>
      </c>
      <c r="H456" t="str">
        <f t="shared" si="47"/>
        <v>NVDA – NVIDIA Corporation</v>
      </c>
    </row>
    <row r="457" spans="1:8" x14ac:dyDescent="0.35">
      <c r="B457" s="1" t="b">
        <f>ISNUMBER(LEFT(A457,4)+1-1)</f>
        <v>0</v>
      </c>
      <c r="C457" s="1" t="str">
        <f t="shared" si="48"/>
        <v>2025-11-01</v>
      </c>
      <c r="D457" t="str">
        <f t="shared" si="43"/>
        <v>Recs:</v>
      </c>
      <c r="E457" t="str">
        <f t="shared" si="44"/>
        <v>EQTAB.ST – EQT AB Class B (Sweden)</v>
      </c>
      <c r="F457" t="str">
        <f t="shared" si="45"/>
        <v>MSFT – Microsoft Corporation</v>
      </c>
      <c r="G457" t="str">
        <f t="shared" si="46"/>
        <v>NVDA – NVIDIA Corporation</v>
      </c>
      <c r="H457" t="str">
        <f t="shared" si="47"/>
        <v>JNJ – Johnson &amp; Johnson</v>
      </c>
    </row>
    <row r="458" spans="1:8" x14ac:dyDescent="0.35">
      <c r="A458" s="2" t="s">
        <v>246</v>
      </c>
      <c r="B458" s="1" t="b">
        <f>ISNUMBER(LEFT(A458,4)+1-1)</f>
        <v>1</v>
      </c>
      <c r="C458" s="1" t="str">
        <f t="shared" si="48"/>
        <v>2025-11-02</v>
      </c>
      <c r="D458" t="str">
        <f t="shared" si="43"/>
        <v>EQTAB.ST – EQT AB Class B (Sweden)</v>
      </c>
      <c r="E458" t="str">
        <f t="shared" si="44"/>
        <v>MSFT – Microsoft Corporation</v>
      </c>
      <c r="F458" t="str">
        <f t="shared" si="45"/>
        <v>NVDA – NVIDIA Corporation</v>
      </c>
      <c r="G458" t="str">
        <f t="shared" si="46"/>
        <v>JNJ – Johnson &amp; Johnson</v>
      </c>
      <c r="H458" t="str">
        <f t="shared" si="47"/>
        <v>XOM – Exxon Mobil Corporation</v>
      </c>
    </row>
    <row r="459" spans="1:8" x14ac:dyDescent="0.35">
      <c r="A459" t="s">
        <v>1</v>
      </c>
      <c r="B459" s="1" t="b">
        <f>ISNUMBER(LEFT(A459,4)+1-1)</f>
        <v>0</v>
      </c>
      <c r="C459" s="1" t="str">
        <f t="shared" si="48"/>
        <v>2025-11-02</v>
      </c>
      <c r="D459" t="str">
        <f t="shared" si="43"/>
        <v>MSFT – Microsoft Corporation</v>
      </c>
      <c r="E459" t="str">
        <f t="shared" si="44"/>
        <v>NVDA – NVIDIA Corporation</v>
      </c>
      <c r="F459" t="str">
        <f t="shared" si="45"/>
        <v>JNJ – Johnson &amp; Johnson</v>
      </c>
      <c r="G459" t="str">
        <f t="shared" si="46"/>
        <v>XOM – Exxon Mobil Corporation</v>
      </c>
      <c r="H459" t="str">
        <f t="shared" si="47"/>
        <v>Perf (prev recs):</v>
      </c>
    </row>
    <row r="460" spans="1:8" x14ac:dyDescent="0.35">
      <c r="A460" t="s">
        <v>247</v>
      </c>
      <c r="B460" s="1" t="b">
        <f>ISNUMBER(LEFT(A460,4)+1-1)</f>
        <v>0</v>
      </c>
      <c r="C460" s="1" t="str">
        <f t="shared" si="48"/>
        <v>2025-11-02</v>
      </c>
      <c r="D460" t="str">
        <f t="shared" si="43"/>
        <v>NVDA – NVIDIA Corporation</v>
      </c>
      <c r="E460" t="str">
        <f t="shared" si="44"/>
        <v>JNJ – Johnson &amp; Johnson</v>
      </c>
      <c r="F460" t="str">
        <f t="shared" si="45"/>
        <v>XOM – Exxon Mobil Corporation</v>
      </c>
      <c r="G460" t="str">
        <f t="shared" si="46"/>
        <v>Perf (prev recs):</v>
      </c>
      <c r="H460" t="str">
        <f t="shared" si="47"/>
        <v>N/A</v>
      </c>
    </row>
    <row r="461" spans="1:8" x14ac:dyDescent="0.35">
      <c r="A461" t="s">
        <v>248</v>
      </c>
      <c r="B461" s="1" t="b">
        <f>ISNUMBER(LEFT(A461,4)+1-1)</f>
        <v>0</v>
      </c>
      <c r="C461" s="1" t="str">
        <f t="shared" si="48"/>
        <v>2025-11-02</v>
      </c>
      <c r="D461" t="str">
        <f t="shared" si="43"/>
        <v>JNJ – Johnson &amp; Johnson</v>
      </c>
      <c r="E461" t="str">
        <f t="shared" si="44"/>
        <v>XOM – Exxon Mobil Corporation</v>
      </c>
      <c r="F461" t="str">
        <f t="shared" si="45"/>
        <v>Perf (prev recs):</v>
      </c>
      <c r="G461" t="str">
        <f t="shared" si="46"/>
        <v>N/A</v>
      </c>
      <c r="H461" t="str">
        <f t="shared" si="47"/>
        <v>N/A</v>
      </c>
    </row>
    <row r="462" spans="1:8" x14ac:dyDescent="0.35">
      <c r="A462" t="s">
        <v>249</v>
      </c>
      <c r="B462" s="1" t="b">
        <f>ISNUMBER(LEFT(A462,4)+1-1)</f>
        <v>0</v>
      </c>
      <c r="C462" s="1" t="str">
        <f t="shared" si="48"/>
        <v>2025-11-02</v>
      </c>
      <c r="D462" t="str">
        <f t="shared" si="43"/>
        <v>XOM – Exxon Mobil Corporation</v>
      </c>
      <c r="E462" t="str">
        <f t="shared" si="44"/>
        <v>Perf (prev recs):</v>
      </c>
      <c r="F462" t="str">
        <f t="shared" si="45"/>
        <v>N/A</v>
      </c>
      <c r="G462" t="str">
        <f t="shared" si="46"/>
        <v>N/A</v>
      </c>
      <c r="H462" t="str">
        <f t="shared" si="47"/>
        <v>N/A</v>
      </c>
    </row>
    <row r="463" spans="1:8" x14ac:dyDescent="0.35">
      <c r="A463" t="s">
        <v>250</v>
      </c>
      <c r="B463" s="1" t="b">
        <f>ISNUMBER(LEFT(A463,4)+1-1)</f>
        <v>0</v>
      </c>
      <c r="C463" s="1" t="str">
        <f t="shared" si="48"/>
        <v>2025-11-02</v>
      </c>
      <c r="D463" t="str">
        <f t="shared" si="43"/>
        <v>Perf (prev recs):</v>
      </c>
      <c r="E463" t="str">
        <f t="shared" si="44"/>
        <v>N/A</v>
      </c>
      <c r="F463" t="str">
        <f t="shared" si="45"/>
        <v>N/A</v>
      </c>
      <c r="G463" t="str">
        <f t="shared" si="46"/>
        <v>N/A</v>
      </c>
      <c r="H463" t="str">
        <f t="shared" si="47"/>
        <v>N/A</v>
      </c>
    </row>
    <row r="464" spans="1:8" x14ac:dyDescent="0.35">
      <c r="A464" t="s">
        <v>251</v>
      </c>
      <c r="B464" s="1" t="b">
        <f>ISNUMBER(LEFT(A464,4)+1-1)</f>
        <v>0</v>
      </c>
      <c r="C464" s="1" t="str">
        <f t="shared" si="48"/>
        <v>2025-11-02</v>
      </c>
      <c r="D464" t="str">
        <f t="shared" si="43"/>
        <v>N/A</v>
      </c>
      <c r="E464" t="str">
        <f t="shared" si="44"/>
        <v>N/A</v>
      </c>
      <c r="F464" t="str">
        <f t="shared" si="45"/>
        <v>N/A</v>
      </c>
      <c r="G464" t="str">
        <f t="shared" si="46"/>
        <v>N/A</v>
      </c>
      <c r="H464" t="str">
        <f t="shared" si="47"/>
        <v>N/A</v>
      </c>
    </row>
    <row r="465" spans="1:8" x14ac:dyDescent="0.35">
      <c r="A465" t="s">
        <v>7</v>
      </c>
      <c r="B465" s="1" t="b">
        <f>ISNUMBER(LEFT(A465,4)+1-1)</f>
        <v>0</v>
      </c>
      <c r="C465" s="1" t="str">
        <f t="shared" si="48"/>
        <v>2025-11-02</v>
      </c>
      <c r="D465" t="str">
        <f t="shared" si="43"/>
        <v>N/A</v>
      </c>
      <c r="E465" t="str">
        <f t="shared" si="44"/>
        <v>N/A</v>
      </c>
      <c r="F465" t="str">
        <f t="shared" si="45"/>
        <v>N/A</v>
      </c>
      <c r="G465" t="str">
        <f t="shared" si="46"/>
        <v>N/A</v>
      </c>
      <c r="H465" t="str">
        <f t="shared" si="47"/>
        <v>Avg N/A</v>
      </c>
    </row>
    <row r="466" spans="1:8" x14ac:dyDescent="0.35">
      <c r="A466" t="s">
        <v>8</v>
      </c>
      <c r="B466" s="1" t="b">
        <f>ISNUMBER(LEFT(A466,4)+1-1)</f>
        <v>0</v>
      </c>
      <c r="C466" s="1" t="str">
        <f t="shared" si="48"/>
        <v>2025-11-02</v>
      </c>
      <c r="D466" t="str">
        <f t="shared" si="43"/>
        <v>N/A</v>
      </c>
      <c r="E466" t="str">
        <f t="shared" si="44"/>
        <v>N/A</v>
      </c>
      <c r="F466" t="str">
        <f t="shared" si="45"/>
        <v>N/A</v>
      </c>
      <c r="G466" t="str">
        <f t="shared" si="46"/>
        <v>Avg N/A</v>
      </c>
      <c r="H466" t="str">
        <f t="shared" si="47"/>
        <v>S&amp;P500 +1.00% The Economic Times+1</v>
      </c>
    </row>
    <row r="467" spans="1:8" x14ac:dyDescent="0.35">
      <c r="A467" t="s">
        <v>8</v>
      </c>
      <c r="B467" s="1" t="b">
        <f>ISNUMBER(LEFT(A467,4)+1-1)</f>
        <v>0</v>
      </c>
      <c r="C467" s="1" t="str">
        <f t="shared" si="48"/>
        <v>2025-11-02</v>
      </c>
      <c r="D467" t="str">
        <f t="shared" si="43"/>
        <v>N/A</v>
      </c>
      <c r="E467" t="str">
        <f t="shared" si="44"/>
        <v>N/A</v>
      </c>
      <c r="F467" t="str">
        <f t="shared" si="45"/>
        <v>Avg N/A</v>
      </c>
      <c r="G467" t="str">
        <f t="shared" si="46"/>
        <v>S&amp;P500 +1.00% The Economic Times+1</v>
      </c>
      <c r="H467">
        <f t="shared" si="47"/>
        <v>0</v>
      </c>
    </row>
    <row r="468" spans="1:8" x14ac:dyDescent="0.35">
      <c r="A468" t="s">
        <v>8</v>
      </c>
      <c r="B468" s="1" t="b">
        <f>ISNUMBER(LEFT(A468,4)+1-1)</f>
        <v>0</v>
      </c>
      <c r="C468" s="1" t="str">
        <f t="shared" si="48"/>
        <v>2025-11-02</v>
      </c>
      <c r="D468" t="str">
        <f t="shared" si="43"/>
        <v>N/A</v>
      </c>
      <c r="E468" t="str">
        <f t="shared" si="44"/>
        <v>Avg N/A</v>
      </c>
      <c r="F468" t="str">
        <f t="shared" si="45"/>
        <v>S&amp;P500 +1.00% The Economic Times+1</v>
      </c>
      <c r="G468">
        <f t="shared" si="46"/>
        <v>0</v>
      </c>
      <c r="H468" t="str">
        <f t="shared" si="47"/>
        <v>2025-11-03 - Monday</v>
      </c>
    </row>
    <row r="469" spans="1:8" x14ac:dyDescent="0.35">
      <c r="A469" t="s">
        <v>8</v>
      </c>
      <c r="B469" s="1" t="b">
        <f>ISNUMBER(LEFT(A469,4)+1-1)</f>
        <v>0</v>
      </c>
      <c r="C469" s="1" t="str">
        <f t="shared" si="48"/>
        <v>2025-11-02</v>
      </c>
      <c r="D469" t="str">
        <f t="shared" si="43"/>
        <v>Avg N/A</v>
      </c>
      <c r="E469" t="str">
        <f t="shared" si="44"/>
        <v>S&amp;P500 +1.00% The Economic Times+1</v>
      </c>
      <c r="F469">
        <f t="shared" si="45"/>
        <v>0</v>
      </c>
      <c r="G469" t="str">
        <f t="shared" si="46"/>
        <v>2025-11-03 - Monday</v>
      </c>
      <c r="H469" t="str">
        <f t="shared" si="47"/>
        <v>Recs:</v>
      </c>
    </row>
    <row r="470" spans="1:8" x14ac:dyDescent="0.35">
      <c r="A470" t="s">
        <v>8</v>
      </c>
      <c r="B470" s="1" t="b">
        <f>ISNUMBER(LEFT(A470,4)+1-1)</f>
        <v>0</v>
      </c>
      <c r="C470" s="1" t="str">
        <f t="shared" si="48"/>
        <v>2025-11-02</v>
      </c>
      <c r="D470" t="str">
        <f t="shared" si="43"/>
        <v>S&amp;P500 +1.00% The Economic Times+1</v>
      </c>
      <c r="E470">
        <f t="shared" si="44"/>
        <v>0</v>
      </c>
      <c r="F470" t="str">
        <f t="shared" si="45"/>
        <v>2025-11-03 - Monday</v>
      </c>
      <c r="G470" t="str">
        <f t="shared" si="46"/>
        <v>Recs:</v>
      </c>
      <c r="H470" t="str">
        <f t="shared" si="47"/>
        <v>SAAB B.ST – Saab AB</v>
      </c>
    </row>
    <row r="471" spans="1:8" x14ac:dyDescent="0.35">
      <c r="A471" t="s">
        <v>9</v>
      </c>
      <c r="B471" s="1" t="b">
        <f>ISNUMBER(LEFT(A471,4)+1-1)</f>
        <v>0</v>
      </c>
      <c r="C471" s="1" t="str">
        <f t="shared" si="48"/>
        <v>2025-11-02</v>
      </c>
      <c r="D471">
        <f t="shared" si="43"/>
        <v>0</v>
      </c>
      <c r="E471" t="str">
        <f t="shared" si="44"/>
        <v>2025-11-03 - Monday</v>
      </c>
      <c r="F471" t="str">
        <f t="shared" si="45"/>
        <v>Recs:</v>
      </c>
      <c r="G471" t="str">
        <f t="shared" si="46"/>
        <v>SAAB B.ST – Saab AB</v>
      </c>
      <c r="H471" t="str">
        <f t="shared" si="47"/>
        <v>SAVE.ST – Nordnet AB</v>
      </c>
    </row>
    <row r="472" spans="1:8" x14ac:dyDescent="0.35">
      <c r="A472" t="s">
        <v>252</v>
      </c>
      <c r="B472" s="1" t="b">
        <f>ISNUMBER(LEFT(A472,4)+1-1)</f>
        <v>0</v>
      </c>
      <c r="C472" s="1" t="str">
        <f t="shared" si="48"/>
        <v>2025-11-02</v>
      </c>
      <c r="D472" t="str">
        <f t="shared" si="43"/>
        <v>2025-11-03 - Monday</v>
      </c>
      <c r="E472" t="str">
        <f t="shared" si="44"/>
        <v>Recs:</v>
      </c>
      <c r="F472" t="str">
        <f t="shared" si="45"/>
        <v>SAAB B.ST – Saab AB</v>
      </c>
      <c r="G472" t="str">
        <f t="shared" si="46"/>
        <v>SAVE.ST – Nordnet AB</v>
      </c>
      <c r="H472" t="str">
        <f t="shared" si="47"/>
        <v>EQTAB.ST – EQT AB Class B</v>
      </c>
    </row>
    <row r="473" spans="1:8" x14ac:dyDescent="0.35">
      <c r="B473" s="1" t="b">
        <f>ISNUMBER(LEFT(A473,4)+1-1)</f>
        <v>0</v>
      </c>
      <c r="C473" s="1" t="str">
        <f t="shared" si="48"/>
        <v>2025-11-02</v>
      </c>
      <c r="D473" t="str">
        <f t="shared" si="43"/>
        <v>Recs:</v>
      </c>
      <c r="E473" t="str">
        <f t="shared" si="44"/>
        <v>SAAB B.ST – Saab AB</v>
      </c>
      <c r="F473" t="str">
        <f t="shared" si="45"/>
        <v>SAVE.ST – Nordnet AB</v>
      </c>
      <c r="G473" t="str">
        <f t="shared" si="46"/>
        <v>EQTAB.ST – EQT AB Class B</v>
      </c>
      <c r="H473" t="str">
        <f t="shared" si="47"/>
        <v>ERIC B.ST – Ericsson AB</v>
      </c>
    </row>
    <row r="474" spans="1:8" x14ac:dyDescent="0.35">
      <c r="A474" s="2" t="s">
        <v>253</v>
      </c>
      <c r="B474" s="1" t="b">
        <f>ISNUMBER(LEFT(A474,4)+1-1)</f>
        <v>1</v>
      </c>
      <c r="C474" s="1" t="str">
        <f t="shared" si="48"/>
        <v>2025-11-03</v>
      </c>
      <c r="D474" t="str">
        <f t="shared" si="43"/>
        <v>SAAB B.ST – Saab AB</v>
      </c>
      <c r="E474" t="str">
        <f t="shared" si="44"/>
        <v>SAVE.ST – Nordnet AB</v>
      </c>
      <c r="F474" t="str">
        <f t="shared" si="45"/>
        <v>EQTAB.ST – EQT AB Class B</v>
      </c>
      <c r="G474" t="str">
        <f t="shared" si="46"/>
        <v>ERIC B.ST – Ericsson AB</v>
      </c>
      <c r="H474" t="str">
        <f t="shared" si="47"/>
        <v>AAPL – Apple Inc</v>
      </c>
    </row>
    <row r="475" spans="1:8" x14ac:dyDescent="0.35">
      <c r="A475" t="s">
        <v>1</v>
      </c>
      <c r="B475" s="1" t="b">
        <f>ISNUMBER(LEFT(A475,4)+1-1)</f>
        <v>0</v>
      </c>
      <c r="C475" s="1" t="str">
        <f t="shared" si="48"/>
        <v>2025-11-03</v>
      </c>
      <c r="D475" t="str">
        <f t="shared" si="43"/>
        <v>SAVE.ST – Nordnet AB</v>
      </c>
      <c r="E475" t="str">
        <f t="shared" si="44"/>
        <v>EQTAB.ST – EQT AB Class B</v>
      </c>
      <c r="F475" t="str">
        <f t="shared" si="45"/>
        <v>ERIC B.ST – Ericsson AB</v>
      </c>
      <c r="G475" t="str">
        <f t="shared" si="46"/>
        <v>AAPL – Apple Inc</v>
      </c>
      <c r="H475" t="str">
        <f t="shared" si="47"/>
        <v>Perf (prev recs):</v>
      </c>
    </row>
    <row r="476" spans="1:8" x14ac:dyDescent="0.35">
      <c r="A476" t="s">
        <v>254</v>
      </c>
      <c r="B476" s="1" t="b">
        <f>ISNUMBER(LEFT(A476,4)+1-1)</f>
        <v>0</v>
      </c>
      <c r="C476" s="1" t="str">
        <f t="shared" si="48"/>
        <v>2025-11-03</v>
      </c>
      <c r="D476" t="str">
        <f t="shared" si="43"/>
        <v>EQTAB.ST – EQT AB Class B</v>
      </c>
      <c r="E476" t="str">
        <f t="shared" si="44"/>
        <v>ERIC B.ST – Ericsson AB</v>
      </c>
      <c r="F476" t="str">
        <f t="shared" si="45"/>
        <v>AAPL – Apple Inc</v>
      </c>
      <c r="G476" t="str">
        <f t="shared" si="46"/>
        <v>Perf (prev recs):</v>
      </c>
      <c r="H476" t="str">
        <f t="shared" si="47"/>
        <v>N/A</v>
      </c>
    </row>
    <row r="477" spans="1:8" x14ac:dyDescent="0.35">
      <c r="A477" t="s">
        <v>255</v>
      </c>
      <c r="B477" s="1" t="b">
        <f>ISNUMBER(LEFT(A477,4)+1-1)</f>
        <v>0</v>
      </c>
      <c r="C477" s="1" t="str">
        <f t="shared" si="48"/>
        <v>2025-11-03</v>
      </c>
      <c r="D477" t="str">
        <f t="shared" si="43"/>
        <v>ERIC B.ST – Ericsson AB</v>
      </c>
      <c r="E477" t="str">
        <f t="shared" si="44"/>
        <v>AAPL – Apple Inc</v>
      </c>
      <c r="F477" t="str">
        <f t="shared" si="45"/>
        <v>Perf (prev recs):</v>
      </c>
      <c r="G477" t="str">
        <f t="shared" si="46"/>
        <v>N/A</v>
      </c>
      <c r="H477" t="str">
        <f t="shared" si="47"/>
        <v>N/A</v>
      </c>
    </row>
    <row r="478" spans="1:8" x14ac:dyDescent="0.35">
      <c r="A478" t="s">
        <v>256</v>
      </c>
      <c r="B478" s="1" t="b">
        <f>ISNUMBER(LEFT(A478,4)+1-1)</f>
        <v>0</v>
      </c>
      <c r="C478" s="1" t="str">
        <f t="shared" si="48"/>
        <v>2025-11-03</v>
      </c>
      <c r="D478" t="str">
        <f t="shared" si="43"/>
        <v>AAPL – Apple Inc</v>
      </c>
      <c r="E478" t="str">
        <f t="shared" si="44"/>
        <v>Perf (prev recs):</v>
      </c>
      <c r="F478" t="str">
        <f t="shared" si="45"/>
        <v>N/A</v>
      </c>
      <c r="G478" t="str">
        <f t="shared" si="46"/>
        <v>N/A</v>
      </c>
      <c r="H478" t="str">
        <f t="shared" si="47"/>
        <v>N/A</v>
      </c>
    </row>
    <row r="479" spans="1:8" x14ac:dyDescent="0.35">
      <c r="A479" t="s">
        <v>257</v>
      </c>
      <c r="B479" s="1" t="b">
        <f>ISNUMBER(LEFT(A479,4)+1-1)</f>
        <v>0</v>
      </c>
      <c r="C479" s="1" t="str">
        <f t="shared" si="48"/>
        <v>2025-11-03</v>
      </c>
      <c r="D479" t="str">
        <f t="shared" si="43"/>
        <v>Perf (prev recs):</v>
      </c>
      <c r="E479" t="str">
        <f t="shared" si="44"/>
        <v>N/A</v>
      </c>
      <c r="F479" t="str">
        <f t="shared" si="45"/>
        <v>N/A</v>
      </c>
      <c r="G479" t="str">
        <f t="shared" si="46"/>
        <v>N/A</v>
      </c>
      <c r="H479" t="str">
        <f t="shared" si="47"/>
        <v>N/A</v>
      </c>
    </row>
    <row r="480" spans="1:8" x14ac:dyDescent="0.35">
      <c r="A480" t="s">
        <v>241</v>
      </c>
      <c r="B480" s="1" t="b">
        <f>ISNUMBER(LEFT(A480,4)+1-1)</f>
        <v>0</v>
      </c>
      <c r="C480" s="1" t="str">
        <f t="shared" si="48"/>
        <v>2025-11-03</v>
      </c>
      <c r="D480" t="str">
        <f t="shared" si="43"/>
        <v>N/A</v>
      </c>
      <c r="E480" t="str">
        <f t="shared" si="44"/>
        <v>N/A</v>
      </c>
      <c r="F480" t="str">
        <f t="shared" si="45"/>
        <v>N/A</v>
      </c>
      <c r="G480" t="str">
        <f t="shared" si="46"/>
        <v>N/A</v>
      </c>
      <c r="H480" t="str">
        <f t="shared" si="47"/>
        <v>N/A</v>
      </c>
    </row>
    <row r="481" spans="1:8" x14ac:dyDescent="0.35">
      <c r="A481" t="s">
        <v>7</v>
      </c>
      <c r="B481" s="1" t="b">
        <f>ISNUMBER(LEFT(A481,4)+1-1)</f>
        <v>0</v>
      </c>
      <c r="C481" s="1" t="str">
        <f t="shared" si="48"/>
        <v>2025-11-03</v>
      </c>
      <c r="D481" t="str">
        <f t="shared" si="43"/>
        <v>N/A</v>
      </c>
      <c r="E481" t="str">
        <f t="shared" si="44"/>
        <v>N/A</v>
      </c>
      <c r="F481" t="str">
        <f t="shared" si="45"/>
        <v>N/A</v>
      </c>
      <c r="G481" t="str">
        <f t="shared" si="46"/>
        <v>N/A</v>
      </c>
      <c r="H481" t="str">
        <f t="shared" si="47"/>
        <v>Avg N/A</v>
      </c>
    </row>
    <row r="482" spans="1:8" x14ac:dyDescent="0.35">
      <c r="A482" t="s">
        <v>8</v>
      </c>
      <c r="B482" s="1" t="b">
        <f>ISNUMBER(LEFT(A482,4)+1-1)</f>
        <v>0</v>
      </c>
      <c r="C482" s="1" t="str">
        <f t="shared" si="48"/>
        <v>2025-11-03</v>
      </c>
      <c r="D482" t="str">
        <f t="shared" si="43"/>
        <v>N/A</v>
      </c>
      <c r="E482" t="str">
        <f t="shared" si="44"/>
        <v>N/A</v>
      </c>
      <c r="F482" t="str">
        <f t="shared" si="45"/>
        <v>N/A</v>
      </c>
      <c r="G482" t="str">
        <f t="shared" si="46"/>
        <v>Avg N/A</v>
      </c>
      <c r="H482" t="str">
        <f t="shared" si="47"/>
        <v>S&amp;P500 +0.36%</v>
      </c>
    </row>
    <row r="483" spans="1:8" x14ac:dyDescent="0.35">
      <c r="A483" t="s">
        <v>8</v>
      </c>
      <c r="B483" s="1" t="b">
        <f>ISNUMBER(LEFT(A483,4)+1-1)</f>
        <v>0</v>
      </c>
      <c r="C483" s="1" t="str">
        <f t="shared" si="48"/>
        <v>2025-11-03</v>
      </c>
      <c r="D483" t="str">
        <f t="shared" si="43"/>
        <v>N/A</v>
      </c>
      <c r="E483" t="str">
        <f t="shared" si="44"/>
        <v>N/A</v>
      </c>
      <c r="F483" t="str">
        <f t="shared" si="45"/>
        <v>Avg N/A</v>
      </c>
      <c r="G483" t="str">
        <f t="shared" si="46"/>
        <v>S&amp;P500 +0.36%</v>
      </c>
      <c r="H483">
        <f t="shared" si="47"/>
        <v>0</v>
      </c>
    </row>
    <row r="484" spans="1:8" x14ac:dyDescent="0.35">
      <c r="A484" t="s">
        <v>8</v>
      </c>
      <c r="B484" s="1" t="b">
        <f>ISNUMBER(LEFT(A484,4)+1-1)</f>
        <v>0</v>
      </c>
      <c r="C484" s="1" t="str">
        <f t="shared" si="48"/>
        <v>2025-11-03</v>
      </c>
      <c r="D484" t="str">
        <f t="shared" si="43"/>
        <v>N/A</v>
      </c>
      <c r="E484" t="str">
        <f t="shared" si="44"/>
        <v>Avg N/A</v>
      </c>
      <c r="F484" t="str">
        <f t="shared" si="45"/>
        <v>S&amp;P500 +0.36%</v>
      </c>
      <c r="G484">
        <f t="shared" si="46"/>
        <v>0</v>
      </c>
      <c r="H484" t="str">
        <f t="shared" si="47"/>
        <v>2025-11-04 - Tuesday</v>
      </c>
    </row>
    <row r="485" spans="1:8" x14ac:dyDescent="0.35">
      <c r="A485" t="s">
        <v>8</v>
      </c>
      <c r="B485" s="1" t="b">
        <f>ISNUMBER(LEFT(A485,4)+1-1)</f>
        <v>0</v>
      </c>
      <c r="C485" s="1" t="str">
        <f t="shared" si="48"/>
        <v>2025-11-03</v>
      </c>
      <c r="D485" t="str">
        <f t="shared" si="43"/>
        <v>Avg N/A</v>
      </c>
      <c r="E485" t="str">
        <f t="shared" si="44"/>
        <v>S&amp;P500 +0.36%</v>
      </c>
      <c r="F485">
        <f t="shared" si="45"/>
        <v>0</v>
      </c>
      <c r="G485" t="str">
        <f t="shared" si="46"/>
        <v>2025-11-04 - Tuesday</v>
      </c>
      <c r="H485" t="str">
        <f t="shared" si="47"/>
        <v>Recs:</v>
      </c>
    </row>
    <row r="486" spans="1:8" x14ac:dyDescent="0.35">
      <c r="A486" t="s">
        <v>8</v>
      </c>
      <c r="B486" s="1" t="b">
        <f>ISNUMBER(LEFT(A486,4)+1-1)</f>
        <v>0</v>
      </c>
      <c r="C486" s="1" t="str">
        <f t="shared" si="48"/>
        <v>2025-11-03</v>
      </c>
      <c r="D486" t="str">
        <f t="shared" si="43"/>
        <v>S&amp;P500 +0.36%</v>
      </c>
      <c r="E486">
        <f t="shared" si="44"/>
        <v>0</v>
      </c>
      <c r="F486" t="str">
        <f t="shared" si="45"/>
        <v>2025-11-04 - Tuesday</v>
      </c>
      <c r="G486" t="str">
        <f t="shared" si="46"/>
        <v>Recs:</v>
      </c>
      <c r="H486" t="str">
        <f t="shared" si="47"/>
        <v>EQTAB.ST – EQT AB Class B</v>
      </c>
    </row>
    <row r="487" spans="1:8" x14ac:dyDescent="0.35">
      <c r="A487" t="s">
        <v>9</v>
      </c>
      <c r="B487" s="1" t="b">
        <f>ISNUMBER(LEFT(A487,4)+1-1)</f>
        <v>0</v>
      </c>
      <c r="C487" s="1" t="str">
        <f t="shared" si="48"/>
        <v>2025-11-03</v>
      </c>
      <c r="D487">
        <f t="shared" si="43"/>
        <v>0</v>
      </c>
      <c r="E487" t="str">
        <f t="shared" si="44"/>
        <v>2025-11-04 - Tuesday</v>
      </c>
      <c r="F487" t="str">
        <f t="shared" si="45"/>
        <v>Recs:</v>
      </c>
      <c r="G487" t="str">
        <f t="shared" si="46"/>
        <v>EQTAB.ST – EQT AB Class B</v>
      </c>
      <c r="H487" t="str">
        <f t="shared" si="47"/>
        <v>NVDA – NVIDIA Corporation</v>
      </c>
    </row>
    <row r="488" spans="1:8" x14ac:dyDescent="0.35">
      <c r="A488" t="s">
        <v>258</v>
      </c>
      <c r="B488" s="1" t="b">
        <f>ISNUMBER(LEFT(A488,4)+1-1)</f>
        <v>0</v>
      </c>
      <c r="C488" s="1" t="str">
        <f t="shared" si="48"/>
        <v>2025-11-03</v>
      </c>
      <c r="D488" t="str">
        <f t="shared" si="43"/>
        <v>2025-11-04 - Tuesday</v>
      </c>
      <c r="E488" t="str">
        <f t="shared" si="44"/>
        <v>Recs:</v>
      </c>
      <c r="F488" t="str">
        <f t="shared" si="45"/>
        <v>EQTAB.ST – EQT AB Class B</v>
      </c>
      <c r="G488" t="str">
        <f t="shared" si="46"/>
        <v>NVDA – NVIDIA Corporation</v>
      </c>
      <c r="H488" t="str">
        <f t="shared" si="47"/>
        <v>VRTX – Vertex Pharmaceuticals</v>
      </c>
    </row>
    <row r="489" spans="1:8" x14ac:dyDescent="0.35">
      <c r="B489" s="1" t="b">
        <f>ISNUMBER(LEFT(A489,4)+1-1)</f>
        <v>0</v>
      </c>
      <c r="C489" s="1" t="str">
        <f t="shared" si="48"/>
        <v>2025-11-03</v>
      </c>
      <c r="D489" t="str">
        <f t="shared" si="43"/>
        <v>Recs:</v>
      </c>
      <c r="E489" t="str">
        <f t="shared" si="44"/>
        <v>EQTAB.ST – EQT AB Class B</v>
      </c>
      <c r="F489" t="str">
        <f t="shared" si="45"/>
        <v>NVDA – NVIDIA Corporation</v>
      </c>
      <c r="G489" t="str">
        <f t="shared" si="46"/>
        <v>VRTX – Vertex Pharmaceuticals</v>
      </c>
      <c r="H489" t="str">
        <f t="shared" si="47"/>
        <v>DELL – Dell Technologies Inc.</v>
      </c>
    </row>
    <row r="490" spans="1:8" x14ac:dyDescent="0.35">
      <c r="A490" s="2" t="s">
        <v>259</v>
      </c>
      <c r="B490" s="1" t="b">
        <f>ISNUMBER(LEFT(A490,4)+1-1)</f>
        <v>1</v>
      </c>
      <c r="C490" s="1" t="str">
        <f t="shared" si="48"/>
        <v>2025-11-04</v>
      </c>
      <c r="D490" t="str">
        <f t="shared" si="43"/>
        <v>EQTAB.ST – EQT AB Class B</v>
      </c>
      <c r="E490" t="str">
        <f t="shared" si="44"/>
        <v>NVDA – NVIDIA Corporation</v>
      </c>
      <c r="F490" t="str">
        <f t="shared" si="45"/>
        <v>VRTX – Vertex Pharmaceuticals</v>
      </c>
      <c r="G490" t="str">
        <f t="shared" si="46"/>
        <v>DELL – Dell Technologies Inc.</v>
      </c>
      <c r="H490" t="str">
        <f t="shared" si="47"/>
        <v>TELIA.ST – Telia Company</v>
      </c>
    </row>
    <row r="491" spans="1:8" x14ac:dyDescent="0.35">
      <c r="A491" t="s">
        <v>1</v>
      </c>
      <c r="B491" s="1" t="b">
        <f>ISNUMBER(LEFT(A491,4)+1-1)</f>
        <v>0</v>
      </c>
      <c r="C491" s="1" t="str">
        <f t="shared" si="48"/>
        <v>2025-11-04</v>
      </c>
      <c r="D491" t="str">
        <f t="shared" si="43"/>
        <v>NVDA – NVIDIA Corporation</v>
      </c>
      <c r="E491" t="str">
        <f t="shared" si="44"/>
        <v>VRTX – Vertex Pharmaceuticals</v>
      </c>
      <c r="F491" t="str">
        <f t="shared" si="45"/>
        <v>DELL – Dell Technologies Inc.</v>
      </c>
      <c r="G491" t="str">
        <f t="shared" si="46"/>
        <v>TELIA.ST – Telia Company</v>
      </c>
      <c r="H491" t="str">
        <f t="shared" si="47"/>
        <v>Perf (prev recs):</v>
      </c>
    </row>
    <row r="492" spans="1:8" x14ac:dyDescent="0.35">
      <c r="A492" t="s">
        <v>256</v>
      </c>
      <c r="B492" s="1" t="b">
        <f>ISNUMBER(LEFT(A492,4)+1-1)</f>
        <v>0</v>
      </c>
      <c r="C492" s="1" t="str">
        <f t="shared" si="48"/>
        <v>2025-11-04</v>
      </c>
      <c r="D492" t="str">
        <f t="shared" si="43"/>
        <v>VRTX – Vertex Pharmaceuticals</v>
      </c>
      <c r="E492" t="str">
        <f t="shared" si="44"/>
        <v>DELL – Dell Technologies Inc.</v>
      </c>
      <c r="F492" t="str">
        <f t="shared" si="45"/>
        <v>TELIA.ST – Telia Company</v>
      </c>
      <c r="G492" t="str">
        <f t="shared" si="46"/>
        <v>Perf (prev recs):</v>
      </c>
      <c r="H492" t="str">
        <f t="shared" si="47"/>
        <v>N/A</v>
      </c>
    </row>
    <row r="493" spans="1:8" x14ac:dyDescent="0.35">
      <c r="A493" t="s">
        <v>249</v>
      </c>
      <c r="B493" s="1" t="b">
        <f>ISNUMBER(LEFT(A493,4)+1-1)</f>
        <v>0</v>
      </c>
      <c r="C493" s="1" t="str">
        <f t="shared" si="48"/>
        <v>2025-11-04</v>
      </c>
      <c r="D493" t="str">
        <f t="shared" si="43"/>
        <v>DELL – Dell Technologies Inc.</v>
      </c>
      <c r="E493" t="str">
        <f t="shared" si="44"/>
        <v>TELIA.ST – Telia Company</v>
      </c>
      <c r="F493" t="str">
        <f t="shared" si="45"/>
        <v>Perf (prev recs):</v>
      </c>
      <c r="G493" t="str">
        <f t="shared" si="46"/>
        <v>N/A</v>
      </c>
      <c r="H493" t="str">
        <f t="shared" si="47"/>
        <v>N/A</v>
      </c>
    </row>
    <row r="494" spans="1:8" x14ac:dyDescent="0.35">
      <c r="A494" t="s">
        <v>260</v>
      </c>
      <c r="B494" s="1" t="b">
        <f>ISNUMBER(LEFT(A494,4)+1-1)</f>
        <v>0</v>
      </c>
      <c r="C494" s="1" t="str">
        <f t="shared" si="48"/>
        <v>2025-11-04</v>
      </c>
      <c r="D494" t="str">
        <f t="shared" si="43"/>
        <v>TELIA.ST – Telia Company</v>
      </c>
      <c r="E494" t="str">
        <f t="shared" si="44"/>
        <v>Perf (prev recs):</v>
      </c>
      <c r="F494" t="str">
        <f t="shared" si="45"/>
        <v>N/A</v>
      </c>
      <c r="G494" t="str">
        <f t="shared" si="46"/>
        <v>N/A</v>
      </c>
      <c r="H494" t="str">
        <f t="shared" si="47"/>
        <v>N/A</v>
      </c>
    </row>
    <row r="495" spans="1:8" x14ac:dyDescent="0.35">
      <c r="A495" t="s">
        <v>261</v>
      </c>
      <c r="B495" s="1" t="b">
        <f>ISNUMBER(LEFT(A495,4)+1-1)</f>
        <v>0</v>
      </c>
      <c r="C495" s="1" t="str">
        <f t="shared" si="48"/>
        <v>2025-11-04</v>
      </c>
      <c r="D495" t="str">
        <f t="shared" si="43"/>
        <v>Perf (prev recs):</v>
      </c>
      <c r="E495" t="str">
        <f t="shared" si="44"/>
        <v>N/A</v>
      </c>
      <c r="F495" t="str">
        <f t="shared" si="45"/>
        <v>N/A</v>
      </c>
      <c r="G495" t="str">
        <f t="shared" si="46"/>
        <v>N/A</v>
      </c>
      <c r="H495" t="str">
        <f t="shared" si="47"/>
        <v>N/A</v>
      </c>
    </row>
    <row r="496" spans="1:8" x14ac:dyDescent="0.35">
      <c r="A496" t="s">
        <v>262</v>
      </c>
      <c r="B496" s="1" t="b">
        <f>ISNUMBER(LEFT(A496,4)+1-1)</f>
        <v>0</v>
      </c>
      <c r="C496" s="1" t="str">
        <f t="shared" si="48"/>
        <v>2025-11-04</v>
      </c>
      <c r="D496" t="str">
        <f t="shared" si="43"/>
        <v>N/A</v>
      </c>
      <c r="E496" t="str">
        <f t="shared" si="44"/>
        <v>N/A</v>
      </c>
      <c r="F496" t="str">
        <f t="shared" si="45"/>
        <v>N/A</v>
      </c>
      <c r="G496" t="str">
        <f t="shared" si="46"/>
        <v>N/A</v>
      </c>
      <c r="H496" t="str">
        <f t="shared" si="47"/>
        <v>N/A</v>
      </c>
    </row>
    <row r="497" spans="1:8" x14ac:dyDescent="0.35">
      <c r="A497" t="s">
        <v>7</v>
      </c>
      <c r="B497" s="1" t="b">
        <f>ISNUMBER(LEFT(A497,4)+1-1)</f>
        <v>0</v>
      </c>
      <c r="C497" s="1" t="str">
        <f t="shared" si="48"/>
        <v>2025-11-04</v>
      </c>
      <c r="D497" t="str">
        <f t="shared" si="43"/>
        <v>N/A</v>
      </c>
      <c r="E497" t="str">
        <f t="shared" si="44"/>
        <v>N/A</v>
      </c>
      <c r="F497" t="str">
        <f t="shared" si="45"/>
        <v>N/A</v>
      </c>
      <c r="G497" t="str">
        <f t="shared" si="46"/>
        <v>N/A</v>
      </c>
      <c r="H497" t="str">
        <f t="shared" si="47"/>
        <v>Avg N/A</v>
      </c>
    </row>
    <row r="498" spans="1:8" x14ac:dyDescent="0.35">
      <c r="A498" t="s">
        <v>8</v>
      </c>
      <c r="B498" s="1" t="b">
        <f>ISNUMBER(LEFT(A498,4)+1-1)</f>
        <v>0</v>
      </c>
      <c r="C498" s="1" t="str">
        <f t="shared" si="48"/>
        <v>2025-11-04</v>
      </c>
      <c r="D498" t="str">
        <f t="shared" si="43"/>
        <v>N/A</v>
      </c>
      <c r="E498" t="str">
        <f t="shared" si="44"/>
        <v>N/A</v>
      </c>
      <c r="F498" t="str">
        <f t="shared" si="45"/>
        <v>N/A</v>
      </c>
      <c r="G498" t="str">
        <f t="shared" si="46"/>
        <v>Avg N/A</v>
      </c>
      <c r="H498" t="str">
        <f t="shared" si="47"/>
        <v>S&amp;P500 +0.20%</v>
      </c>
    </row>
    <row r="499" spans="1:8" x14ac:dyDescent="0.35">
      <c r="A499" t="s">
        <v>8</v>
      </c>
      <c r="B499" s="1" t="b">
        <f>ISNUMBER(LEFT(A499,4)+1-1)</f>
        <v>0</v>
      </c>
      <c r="C499" s="1" t="str">
        <f t="shared" si="48"/>
        <v>2025-11-04</v>
      </c>
      <c r="D499" t="str">
        <f t="shared" si="43"/>
        <v>N/A</v>
      </c>
      <c r="E499" t="str">
        <f t="shared" si="44"/>
        <v>N/A</v>
      </c>
      <c r="F499" t="str">
        <f t="shared" si="45"/>
        <v>Avg N/A</v>
      </c>
      <c r="G499" t="str">
        <f t="shared" si="46"/>
        <v>S&amp;P500 +0.20%</v>
      </c>
      <c r="H499" t="str">
        <f t="shared" si="47"/>
        <v>BHP – BHP Group Ltd.</v>
      </c>
    </row>
    <row r="500" spans="1:8" x14ac:dyDescent="0.35">
      <c r="A500" t="s">
        <v>8</v>
      </c>
      <c r="B500" s="1" t="b">
        <f>ISNUMBER(LEFT(A500,4)+1-1)</f>
        <v>0</v>
      </c>
      <c r="C500" s="1" t="str">
        <f t="shared" si="48"/>
        <v>2025-11-04</v>
      </c>
      <c r="D500" t="str">
        <f t="shared" si="43"/>
        <v>N/A</v>
      </c>
      <c r="E500" t="str">
        <f t="shared" si="44"/>
        <v>Avg N/A</v>
      </c>
      <c r="F500" t="str">
        <f t="shared" si="45"/>
        <v>S&amp;P500 +0.20%</v>
      </c>
      <c r="G500" t="str">
        <f t="shared" si="46"/>
        <v>BHP – BHP Group Ltd.</v>
      </c>
      <c r="H500" t="str">
        <f t="shared" si="47"/>
        <v>SKLGF – SKF Group (Class B)</v>
      </c>
    </row>
    <row r="501" spans="1:8" x14ac:dyDescent="0.35">
      <c r="A501" t="s">
        <v>8</v>
      </c>
      <c r="B501" s="1" t="b">
        <f>ISNUMBER(LEFT(A501,4)+1-1)</f>
        <v>0</v>
      </c>
      <c r="C501" s="1" t="str">
        <f t="shared" si="48"/>
        <v>2025-11-04</v>
      </c>
      <c r="D501" t="str">
        <f t="shared" si="43"/>
        <v>Avg N/A</v>
      </c>
      <c r="E501" t="str">
        <f t="shared" si="44"/>
        <v>S&amp;P500 +0.20%</v>
      </c>
      <c r="F501" t="str">
        <f t="shared" si="45"/>
        <v>BHP – BHP Group Ltd.</v>
      </c>
      <c r="G501" t="str">
        <f t="shared" si="46"/>
        <v>SKLGF – SKF Group (Class B)</v>
      </c>
      <c r="H501" t="str">
        <f t="shared" si="47"/>
        <v>Perf (prev recs):</v>
      </c>
    </row>
    <row r="502" spans="1:8" x14ac:dyDescent="0.35">
      <c r="A502" t="s">
        <v>8</v>
      </c>
      <c r="B502" s="1" t="b">
        <f>ISNUMBER(LEFT(A502,4)+1-1)</f>
        <v>0</v>
      </c>
      <c r="C502" s="1" t="str">
        <f t="shared" si="48"/>
        <v>2025-11-04</v>
      </c>
      <c r="D502" t="str">
        <f t="shared" si="43"/>
        <v>S&amp;P500 +0.20%</v>
      </c>
      <c r="E502" t="str">
        <f t="shared" si="44"/>
        <v>BHP – BHP Group Ltd.</v>
      </c>
      <c r="F502" t="str">
        <f t="shared" si="45"/>
        <v>SKLGF – SKF Group (Class B)</v>
      </c>
      <c r="G502" t="str">
        <f t="shared" si="46"/>
        <v>Perf (prev recs):</v>
      </c>
      <c r="H502" t="str">
        <f t="shared" si="47"/>
        <v>MSFT +1.37%</v>
      </c>
    </row>
    <row r="503" spans="1:8" x14ac:dyDescent="0.35">
      <c r="A503" t="s">
        <v>9</v>
      </c>
      <c r="B503" s="1" t="b">
        <f>ISNUMBER(LEFT(A503,4)+1-1)</f>
        <v>0</v>
      </c>
      <c r="C503" s="1" t="str">
        <f t="shared" si="48"/>
        <v>2025-11-04</v>
      </c>
      <c r="D503" t="str">
        <f t="shared" si="43"/>
        <v>BHP – BHP Group Ltd.</v>
      </c>
      <c r="E503" t="str">
        <f t="shared" si="44"/>
        <v>SKLGF – SKF Group (Class B)</v>
      </c>
      <c r="F503" t="str">
        <f t="shared" si="45"/>
        <v>Perf (prev recs):</v>
      </c>
      <c r="G503" t="str">
        <f t="shared" si="46"/>
        <v>MSFT +1.37%</v>
      </c>
      <c r="H503" t="str">
        <f t="shared" si="47"/>
        <v>NVDA +1.77%</v>
      </c>
    </row>
    <row r="504" spans="1:8" x14ac:dyDescent="0.35">
      <c r="A504" t="s">
        <v>263</v>
      </c>
      <c r="B504" s="1" t="b">
        <f>ISNUMBER(LEFT(A504,4)+1-1)</f>
        <v>0</v>
      </c>
      <c r="C504" s="1" t="str">
        <f t="shared" si="48"/>
        <v>2025-11-04</v>
      </c>
      <c r="D504" t="str">
        <f t="shared" si="43"/>
        <v>SKLGF – SKF Group (Class B)</v>
      </c>
      <c r="E504" t="str">
        <f t="shared" si="44"/>
        <v>Perf (prev recs):</v>
      </c>
      <c r="F504" t="str">
        <f t="shared" si="45"/>
        <v>MSFT +1.37%</v>
      </c>
      <c r="G504" t="str">
        <f t="shared" si="46"/>
        <v>NVDA +1.77%</v>
      </c>
      <c r="H504" t="str">
        <f t="shared" si="47"/>
        <v>APM N/A</v>
      </c>
    </row>
    <row r="505" spans="1:8" x14ac:dyDescent="0.35">
      <c r="A505" t="s">
        <v>155</v>
      </c>
      <c r="B505" s="1" t="b">
        <f>ISNUMBER(LEFT(A505,4)+1-1)</f>
        <v>0</v>
      </c>
      <c r="C505" s="1" t="str">
        <f t="shared" si="48"/>
        <v>2025-11-04</v>
      </c>
      <c r="D505" t="str">
        <f t="shared" si="43"/>
        <v>Perf (prev recs):</v>
      </c>
      <c r="E505" t="str">
        <f t="shared" si="44"/>
        <v>MSFT +1.37%</v>
      </c>
      <c r="F505" t="str">
        <f t="shared" si="45"/>
        <v>NVDA +1.77%</v>
      </c>
      <c r="G505" t="str">
        <f t="shared" si="46"/>
        <v>APM N/A</v>
      </c>
      <c r="H505" t="str">
        <f t="shared" si="47"/>
        <v>LACX N/A</v>
      </c>
    </row>
    <row r="506" spans="1:8" x14ac:dyDescent="0.35">
      <c r="A506" t="s">
        <v>160</v>
      </c>
      <c r="B506" s="1" t="b">
        <f>ISNUMBER(LEFT(A506,4)+1-1)</f>
        <v>0</v>
      </c>
      <c r="C506" s="1" t="str">
        <f t="shared" si="48"/>
        <v>2025-11-04</v>
      </c>
      <c r="D506" t="str">
        <f t="shared" si="43"/>
        <v>MSFT +1.37%</v>
      </c>
      <c r="E506" t="str">
        <f t="shared" si="44"/>
        <v>NVDA +1.77%</v>
      </c>
      <c r="F506" t="str">
        <f t="shared" si="45"/>
        <v>APM N/A</v>
      </c>
      <c r="G506" t="str">
        <f t="shared" si="46"/>
        <v>LACX N/A</v>
      </c>
      <c r="H506" t="str">
        <f t="shared" si="47"/>
        <v>KBH N/A</v>
      </c>
    </row>
    <row r="507" spans="1:8" x14ac:dyDescent="0.35">
      <c r="A507" t="s">
        <v>7</v>
      </c>
      <c r="B507" s="1" t="b">
        <f>ISNUMBER(LEFT(A507,4)+1-1)</f>
        <v>0</v>
      </c>
      <c r="C507" s="1" t="str">
        <f t="shared" si="48"/>
        <v>2025-11-04</v>
      </c>
      <c r="D507" t="str">
        <f t="shared" si="43"/>
        <v>NVDA +1.77%</v>
      </c>
      <c r="E507" t="str">
        <f t="shared" si="44"/>
        <v>APM N/A</v>
      </c>
      <c r="F507" t="str">
        <f t="shared" si="45"/>
        <v>LACX N/A</v>
      </c>
      <c r="G507" t="str">
        <f t="shared" si="46"/>
        <v>KBH N/A</v>
      </c>
      <c r="H507" t="str">
        <f t="shared" si="47"/>
        <v>Avg +1.57%</v>
      </c>
    </row>
    <row r="508" spans="1:8" x14ac:dyDescent="0.35">
      <c r="A508" t="s">
        <v>138</v>
      </c>
      <c r="B508" s="1" t="b">
        <f>ISNUMBER(LEFT(A508,4)+1-1)</f>
        <v>0</v>
      </c>
      <c r="C508" s="1" t="str">
        <f t="shared" si="48"/>
        <v>2025-11-04</v>
      </c>
      <c r="D508" t="str">
        <f t="shared" si="43"/>
        <v>APM N/A</v>
      </c>
      <c r="E508" t="str">
        <f t="shared" si="44"/>
        <v>LACX N/A</v>
      </c>
      <c r="F508" t="str">
        <f t="shared" si="45"/>
        <v>KBH N/A</v>
      </c>
      <c r="G508" t="str">
        <f t="shared" si="46"/>
        <v>Avg +1.57%</v>
      </c>
      <c r="H508" t="str">
        <f t="shared" si="47"/>
        <v>S&amp;P500 +N/A</v>
      </c>
    </row>
    <row r="509" spans="1:8" x14ac:dyDescent="0.35">
      <c r="A509" t="s">
        <v>139</v>
      </c>
      <c r="B509" s="1" t="b">
        <f>ISNUMBER(LEFT(A509,4)+1-1)</f>
        <v>0</v>
      </c>
      <c r="C509" s="1" t="str">
        <f t="shared" si="48"/>
        <v>2025-11-04</v>
      </c>
      <c r="D509" t="str">
        <f t="shared" si="43"/>
        <v>LACX N/A</v>
      </c>
      <c r="E509" t="str">
        <f t="shared" si="44"/>
        <v>KBH N/A</v>
      </c>
      <c r="F509" t="str">
        <f t="shared" si="45"/>
        <v>Avg +1.57%</v>
      </c>
      <c r="G509" t="str">
        <f t="shared" si="46"/>
        <v>S&amp;P500 +N/A</v>
      </c>
      <c r="H509">
        <f t="shared" si="47"/>
        <v>0</v>
      </c>
    </row>
    <row r="510" spans="1:8" x14ac:dyDescent="0.35">
      <c r="A510" t="s">
        <v>147</v>
      </c>
      <c r="B510" s="1" t="b">
        <f>ISNUMBER(LEFT(A510,4)+1-1)</f>
        <v>0</v>
      </c>
      <c r="C510" s="1" t="str">
        <f t="shared" si="48"/>
        <v>2025-11-04</v>
      </c>
      <c r="D510" t="str">
        <f t="shared" si="43"/>
        <v>KBH N/A</v>
      </c>
      <c r="E510" t="str">
        <f t="shared" si="44"/>
        <v>Avg +1.57%</v>
      </c>
      <c r="F510" t="str">
        <f t="shared" si="45"/>
        <v>S&amp;P500 +N/A</v>
      </c>
      <c r="G510">
        <f t="shared" si="46"/>
        <v>0</v>
      </c>
      <c r="H510" t="str">
        <f t="shared" si="47"/>
        <v>2025-11-19 - Wednesday</v>
      </c>
    </row>
    <row r="511" spans="1:8" x14ac:dyDescent="0.35">
      <c r="A511" t="s">
        <v>148</v>
      </c>
      <c r="B511" s="1" t="b">
        <f>ISNUMBER(LEFT(A511,4)+1-1)</f>
        <v>0</v>
      </c>
      <c r="C511" s="1" t="str">
        <f t="shared" si="48"/>
        <v>2025-11-04</v>
      </c>
      <c r="D511" t="str">
        <f t="shared" si="43"/>
        <v>Avg +1.57%</v>
      </c>
      <c r="E511" t="str">
        <f t="shared" si="44"/>
        <v>S&amp;P500 +N/A</v>
      </c>
      <c r="F511">
        <f t="shared" si="45"/>
        <v>0</v>
      </c>
      <c r="G511" t="str">
        <f t="shared" si="46"/>
        <v>2025-11-19 - Wednesday</v>
      </c>
      <c r="H511" t="str">
        <f t="shared" si="47"/>
        <v>Recs:</v>
      </c>
    </row>
    <row r="512" spans="1:8" x14ac:dyDescent="0.35">
      <c r="A512" t="s">
        <v>149</v>
      </c>
      <c r="B512" s="1" t="b">
        <f>ISNUMBER(LEFT(A512,4)+1-1)</f>
        <v>0</v>
      </c>
      <c r="C512" s="1" t="str">
        <f t="shared" si="48"/>
        <v>2025-11-04</v>
      </c>
      <c r="D512" t="str">
        <f t="shared" si="43"/>
        <v>S&amp;P500 +N/A</v>
      </c>
      <c r="E512">
        <f t="shared" si="44"/>
        <v>0</v>
      </c>
      <c r="F512" t="str">
        <f t="shared" si="45"/>
        <v>2025-11-19 - Wednesday</v>
      </c>
      <c r="G512" t="str">
        <f t="shared" si="46"/>
        <v>Recs:</v>
      </c>
      <c r="H512" t="str">
        <f t="shared" si="47"/>
        <v>CSCO – Cisco Systems Inc.</v>
      </c>
    </row>
    <row r="513" spans="1:8" x14ac:dyDescent="0.35">
      <c r="A513" t="s">
        <v>157</v>
      </c>
      <c r="B513" s="1" t="b">
        <f>ISNUMBER(LEFT(A513,4)+1-1)</f>
        <v>0</v>
      </c>
      <c r="C513" s="1" t="str">
        <f t="shared" si="48"/>
        <v>2025-11-04</v>
      </c>
      <c r="D513">
        <f t="shared" si="43"/>
        <v>0</v>
      </c>
      <c r="E513" t="str">
        <f t="shared" si="44"/>
        <v>2025-11-19 - Wednesday</v>
      </c>
      <c r="F513" t="str">
        <f t="shared" si="45"/>
        <v>Recs:</v>
      </c>
      <c r="G513" t="str">
        <f t="shared" si="46"/>
        <v>CSCO – Cisco Systems Inc.</v>
      </c>
      <c r="H513" t="str">
        <f t="shared" si="47"/>
        <v>AAPL – Apple Inc.</v>
      </c>
    </row>
    <row r="514" spans="1:8" x14ac:dyDescent="0.35">
      <c r="A514" t="s">
        <v>161</v>
      </c>
      <c r="B514" s="1" t="b">
        <f>ISNUMBER(LEFT(A514,4)+1-1)</f>
        <v>0</v>
      </c>
      <c r="C514" s="1" t="str">
        <f t="shared" si="48"/>
        <v>2025-11-04</v>
      </c>
      <c r="D514" t="str">
        <f t="shared" si="43"/>
        <v>2025-11-19 - Wednesday</v>
      </c>
      <c r="E514" t="str">
        <f t="shared" si="44"/>
        <v>Recs:</v>
      </c>
      <c r="F514" t="str">
        <f t="shared" si="45"/>
        <v>CSCO – Cisco Systems Inc.</v>
      </c>
      <c r="G514" t="str">
        <f t="shared" si="46"/>
        <v>AAPL – Apple Inc.</v>
      </c>
      <c r="H514" t="str">
        <f t="shared" si="47"/>
        <v>CAT – Caterpillar Inc.</v>
      </c>
    </row>
    <row r="515" spans="1:8" x14ac:dyDescent="0.35">
      <c r="B515" s="1" t="b">
        <f>ISNUMBER(LEFT(A515,4)+1-1)</f>
        <v>0</v>
      </c>
      <c r="C515" s="1" t="str">
        <f t="shared" si="48"/>
        <v>2025-11-04</v>
      </c>
      <c r="D515" t="str">
        <f t="shared" ref="D515:D530" si="49">A517</f>
        <v>Recs:</v>
      </c>
      <c r="E515" t="str">
        <f t="shared" ref="E515:E530" si="50">A518</f>
        <v>CSCO – Cisco Systems Inc.</v>
      </c>
      <c r="F515" t="str">
        <f t="shared" ref="F515:F530" si="51">A519</f>
        <v>AAPL – Apple Inc.</v>
      </c>
      <c r="G515" t="str">
        <f t="shared" ref="G515:G530" si="52">A520</f>
        <v>CAT – Caterpillar Inc.</v>
      </c>
      <c r="H515" t="str">
        <f t="shared" ref="H515:H530" si="53">A521</f>
        <v>BHP – BHP Group Ltd.</v>
      </c>
    </row>
    <row r="516" spans="1:8" x14ac:dyDescent="0.35">
      <c r="A516" s="2" t="s">
        <v>0</v>
      </c>
      <c r="B516" s="1" t="b">
        <f>ISNUMBER(LEFT(A516,4)+1-1)</f>
        <v>1</v>
      </c>
      <c r="C516" s="1" t="str">
        <f t="shared" ref="C516:C530" si="54">IF(B516,LEFT(A516,10),C515)</f>
        <v>2025-11-19</v>
      </c>
      <c r="D516" t="str">
        <f t="shared" si="49"/>
        <v>CSCO – Cisco Systems Inc.</v>
      </c>
      <c r="E516" t="str">
        <f t="shared" si="50"/>
        <v>AAPL – Apple Inc.</v>
      </c>
      <c r="F516" t="str">
        <f t="shared" si="51"/>
        <v>CAT – Caterpillar Inc.</v>
      </c>
      <c r="G516" t="str">
        <f t="shared" si="52"/>
        <v>BHP – BHP Group Ltd.</v>
      </c>
      <c r="H516" t="str">
        <f t="shared" si="53"/>
        <v>SKFB.ST – SKF AB (Sweden)</v>
      </c>
    </row>
    <row r="517" spans="1:8" x14ac:dyDescent="0.35">
      <c r="A517" t="s">
        <v>1</v>
      </c>
      <c r="B517" s="1" t="b">
        <f>ISNUMBER(LEFT(A517,4)+1-1)</f>
        <v>0</v>
      </c>
      <c r="C517" s="1" t="str">
        <f t="shared" si="54"/>
        <v>2025-11-19</v>
      </c>
      <c r="D517" t="str">
        <f t="shared" si="49"/>
        <v>AAPL – Apple Inc.</v>
      </c>
      <c r="E517" t="str">
        <f t="shared" si="50"/>
        <v>CAT – Caterpillar Inc.</v>
      </c>
      <c r="F517" t="str">
        <f t="shared" si="51"/>
        <v>BHP – BHP Group Ltd.</v>
      </c>
      <c r="G517" t="str">
        <f t="shared" si="52"/>
        <v>SKFB.ST – SKF AB (Sweden)</v>
      </c>
      <c r="H517" t="str">
        <f t="shared" si="53"/>
        <v>Perf (prev recs):</v>
      </c>
    </row>
    <row r="518" spans="1:8" x14ac:dyDescent="0.35">
      <c r="A518" t="s">
        <v>153</v>
      </c>
      <c r="B518" s="1" t="b">
        <f>ISNUMBER(LEFT(A518,4)+1-1)</f>
        <v>0</v>
      </c>
      <c r="C518" s="1" t="str">
        <f t="shared" si="54"/>
        <v>2025-11-19</v>
      </c>
      <c r="D518" t="str">
        <f t="shared" si="49"/>
        <v>CAT – Caterpillar Inc.</v>
      </c>
      <c r="E518" t="str">
        <f t="shared" si="50"/>
        <v>BHP – BHP Group Ltd.</v>
      </c>
      <c r="F518" t="str">
        <f t="shared" si="51"/>
        <v>SKFB.ST – SKF AB (Sweden)</v>
      </c>
      <c r="G518" t="str">
        <f t="shared" si="52"/>
        <v>Perf (prev recs):</v>
      </c>
      <c r="H518" t="str">
        <f t="shared" si="53"/>
        <v>AAPL N/A</v>
      </c>
    </row>
    <row r="519" spans="1:8" x14ac:dyDescent="0.35">
      <c r="A519" t="s">
        <v>36</v>
      </c>
      <c r="B519" s="1" t="b">
        <f>ISNUMBER(LEFT(A519,4)+1-1)</f>
        <v>0</v>
      </c>
      <c r="C519" s="1" t="str">
        <f t="shared" si="54"/>
        <v>2025-11-19</v>
      </c>
      <c r="D519" t="str">
        <f t="shared" si="49"/>
        <v>BHP – BHP Group Ltd.</v>
      </c>
      <c r="E519" t="str">
        <f t="shared" si="50"/>
        <v>SKFB.ST – SKF AB (Sweden)</v>
      </c>
      <c r="F519" t="str">
        <f t="shared" si="51"/>
        <v>Perf (prev recs):</v>
      </c>
      <c r="G519" t="str">
        <f t="shared" si="52"/>
        <v>AAPL N/A</v>
      </c>
      <c r="H519" t="str">
        <f t="shared" si="53"/>
        <v>CSCO N/A</v>
      </c>
    </row>
    <row r="520" spans="1:8" x14ac:dyDescent="0.35">
      <c r="A520" t="s">
        <v>154</v>
      </c>
      <c r="B520" s="1" t="b">
        <f>ISNUMBER(LEFT(A520,4)+1-1)</f>
        <v>0</v>
      </c>
      <c r="C520" s="1" t="str">
        <f t="shared" si="54"/>
        <v>2025-11-19</v>
      </c>
      <c r="D520" t="str">
        <f t="shared" si="49"/>
        <v>SKFB.ST – SKF AB (Sweden)</v>
      </c>
      <c r="E520" t="str">
        <f t="shared" si="50"/>
        <v>Perf (prev recs):</v>
      </c>
      <c r="F520" t="str">
        <f t="shared" si="51"/>
        <v>AAPL N/A</v>
      </c>
      <c r="G520" t="str">
        <f t="shared" si="52"/>
        <v>CSCO N/A</v>
      </c>
      <c r="H520" t="str">
        <f t="shared" si="53"/>
        <v>CAT N/A</v>
      </c>
    </row>
    <row r="521" spans="1:8" x14ac:dyDescent="0.35">
      <c r="A521" t="s">
        <v>155</v>
      </c>
      <c r="B521" s="1" t="b">
        <f>ISNUMBER(LEFT(A521,4)+1-1)</f>
        <v>0</v>
      </c>
      <c r="C521" s="1" t="str">
        <f t="shared" si="54"/>
        <v>2025-11-19</v>
      </c>
      <c r="D521" t="str">
        <f t="shared" si="49"/>
        <v>Perf (prev recs):</v>
      </c>
      <c r="E521" t="str">
        <f t="shared" si="50"/>
        <v>AAPL N/A</v>
      </c>
      <c r="F521" t="str">
        <f t="shared" si="51"/>
        <v>CSCO N/A</v>
      </c>
      <c r="G521" t="str">
        <f t="shared" si="52"/>
        <v>CAT N/A</v>
      </c>
      <c r="H521" t="str">
        <f t="shared" si="53"/>
        <v>BHP N/A</v>
      </c>
    </row>
    <row r="522" spans="1:8" x14ac:dyDescent="0.35">
      <c r="A522" t="s">
        <v>162</v>
      </c>
      <c r="B522" s="1" t="b">
        <f>ISNUMBER(LEFT(A522,4)+1-1)</f>
        <v>0</v>
      </c>
      <c r="C522" s="1" t="str">
        <f t="shared" si="54"/>
        <v>2025-11-19</v>
      </c>
      <c r="D522" t="str">
        <f t="shared" si="49"/>
        <v>AAPL N/A</v>
      </c>
      <c r="E522" t="str">
        <f t="shared" si="50"/>
        <v>CSCO N/A</v>
      </c>
      <c r="F522" t="str">
        <f t="shared" si="51"/>
        <v>CAT N/A</v>
      </c>
      <c r="G522" t="str">
        <f t="shared" si="52"/>
        <v>BHP N/A</v>
      </c>
      <c r="H522" t="str">
        <f t="shared" si="53"/>
        <v>SKLGF N/A</v>
      </c>
    </row>
    <row r="523" spans="1:8" x14ac:dyDescent="0.35">
      <c r="A523" t="s">
        <v>7</v>
      </c>
      <c r="B523" s="1" t="b">
        <f>ISNUMBER(LEFT(A523,4)+1-1)</f>
        <v>0</v>
      </c>
      <c r="C523" s="1" t="str">
        <f t="shared" si="54"/>
        <v>2025-11-19</v>
      </c>
      <c r="D523" t="str">
        <f t="shared" si="49"/>
        <v>CSCO N/A</v>
      </c>
      <c r="E523" t="str">
        <f t="shared" si="50"/>
        <v>CAT N/A</v>
      </c>
      <c r="F523" t="str">
        <f t="shared" si="51"/>
        <v>BHP N/A</v>
      </c>
      <c r="G523" t="str">
        <f t="shared" si="52"/>
        <v>SKLGF N/A</v>
      </c>
      <c r="H523" t="str">
        <f t="shared" si="53"/>
        <v>Avg N/A</v>
      </c>
    </row>
    <row r="524" spans="1:8" x14ac:dyDescent="0.35">
      <c r="A524" t="s">
        <v>163</v>
      </c>
      <c r="B524" s="1" t="b">
        <f>ISNUMBER(LEFT(A524,4)+1-1)</f>
        <v>0</v>
      </c>
      <c r="C524" s="1" t="str">
        <f t="shared" si="54"/>
        <v>2025-11-19</v>
      </c>
      <c r="D524" t="str">
        <f t="shared" si="49"/>
        <v>CAT N/A</v>
      </c>
      <c r="E524" t="str">
        <f t="shared" si="50"/>
        <v>BHP N/A</v>
      </c>
      <c r="F524" t="str">
        <f t="shared" si="51"/>
        <v>SKLGF N/A</v>
      </c>
      <c r="G524" t="str">
        <f t="shared" si="52"/>
        <v>Avg N/A</v>
      </c>
      <c r="H524" t="str">
        <f t="shared" si="53"/>
        <v>S&amp;P500 N/A</v>
      </c>
    </row>
    <row r="525" spans="1:8" x14ac:dyDescent="0.35">
      <c r="A525" t="s">
        <v>164</v>
      </c>
      <c r="B525" s="1" t="b">
        <f>ISNUMBER(LEFT(A525,4)+1-1)</f>
        <v>0</v>
      </c>
      <c r="C525" s="1" t="str">
        <f t="shared" si="54"/>
        <v>2025-11-19</v>
      </c>
      <c r="D525" t="str">
        <f t="shared" si="49"/>
        <v>BHP N/A</v>
      </c>
      <c r="E525" t="str">
        <f t="shared" si="50"/>
        <v>SKLGF N/A</v>
      </c>
      <c r="F525" t="str">
        <f t="shared" si="51"/>
        <v>Avg N/A</v>
      </c>
      <c r="G525" t="str">
        <f t="shared" si="52"/>
        <v>S&amp;P500 N/A</v>
      </c>
      <c r="H525" t="str">
        <f t="shared" si="53"/>
        <v>2025-11-19 - Wednesday</v>
      </c>
    </row>
    <row r="526" spans="1:8" x14ac:dyDescent="0.35">
      <c r="A526" t="s">
        <v>165</v>
      </c>
      <c r="B526" s="1" t="b">
        <f>ISNUMBER(LEFT(A526,4)+1-1)</f>
        <v>0</v>
      </c>
      <c r="C526" s="1" t="str">
        <f t="shared" si="54"/>
        <v>2025-11-19</v>
      </c>
      <c r="D526" t="str">
        <f t="shared" si="49"/>
        <v>SKLGF N/A</v>
      </c>
      <c r="E526" t="str">
        <f t="shared" si="50"/>
        <v>Avg N/A</v>
      </c>
      <c r="F526" t="str">
        <f t="shared" si="51"/>
        <v>S&amp;P500 N/A</v>
      </c>
      <c r="G526" t="str">
        <f t="shared" si="52"/>
        <v>2025-11-19 - Wednesday</v>
      </c>
      <c r="H526" t="str">
        <f t="shared" si="53"/>
        <v>Recs:</v>
      </c>
    </row>
    <row r="527" spans="1:8" x14ac:dyDescent="0.35">
      <c r="A527" t="s">
        <v>166</v>
      </c>
      <c r="B527" s="1" t="b">
        <f>ISNUMBER(LEFT(A527,4)+1-1)</f>
        <v>0</v>
      </c>
      <c r="C527" s="1" t="str">
        <f t="shared" si="54"/>
        <v>2025-11-19</v>
      </c>
      <c r="D527" t="str">
        <f t="shared" si="49"/>
        <v>Avg N/A</v>
      </c>
      <c r="E527" t="str">
        <f t="shared" si="50"/>
        <v>S&amp;P500 N/A</v>
      </c>
      <c r="F527" t="str">
        <f t="shared" si="51"/>
        <v>2025-11-19 - Wednesday</v>
      </c>
      <c r="G527" t="str">
        <f t="shared" si="52"/>
        <v>Recs:</v>
      </c>
      <c r="H527" t="str">
        <f t="shared" si="53"/>
        <v>NVDA – NVIDIA Corp</v>
      </c>
    </row>
    <row r="528" spans="1:8" x14ac:dyDescent="0.35">
      <c r="A528" t="s">
        <v>167</v>
      </c>
      <c r="B528" s="1" t="b">
        <f>ISNUMBER(LEFT(A528,4)+1-1)</f>
        <v>0</v>
      </c>
      <c r="C528" s="1" t="str">
        <f t="shared" si="54"/>
        <v>2025-11-19</v>
      </c>
      <c r="D528" t="str">
        <f t="shared" si="49"/>
        <v>S&amp;P500 N/A</v>
      </c>
      <c r="E528" t="str">
        <f t="shared" si="50"/>
        <v>2025-11-19 - Wednesday</v>
      </c>
      <c r="F528" t="str">
        <f t="shared" si="51"/>
        <v>Recs:</v>
      </c>
      <c r="G528" t="str">
        <f t="shared" si="52"/>
        <v>NVDA – NVIDIA Corp</v>
      </c>
      <c r="H528" t="str">
        <f t="shared" si="53"/>
        <v>ERIC – Telefonaktiebolaget LM Ericsson</v>
      </c>
    </row>
    <row r="529" spans="1:8" x14ac:dyDescent="0.35">
      <c r="A529" t="s">
        <v>9</v>
      </c>
      <c r="B529" s="1" t="b">
        <f>ISNUMBER(LEFT(A529,4)+1-1)</f>
        <v>0</v>
      </c>
      <c r="C529" s="1" t="str">
        <f t="shared" si="54"/>
        <v>2025-11-19</v>
      </c>
      <c r="D529" t="str">
        <f t="shared" si="49"/>
        <v>2025-11-19 - Wednesday</v>
      </c>
      <c r="E529" t="str">
        <f t="shared" si="50"/>
        <v>Recs:</v>
      </c>
      <c r="F529" t="str">
        <f t="shared" si="51"/>
        <v>NVDA – NVIDIA Corp</v>
      </c>
      <c r="G529" t="str">
        <f t="shared" si="52"/>
        <v>ERIC – Telefonaktiebolaget LM Ericsson</v>
      </c>
      <c r="H529" t="str">
        <f t="shared" si="53"/>
        <v>VOLV-B.ST – AB Volvo (publ) B</v>
      </c>
    </row>
    <row r="530" spans="1:8" x14ac:dyDescent="0.35">
      <c r="A530" t="s">
        <v>10</v>
      </c>
      <c r="B530" s="1" t="b">
        <f>ISNUMBER(LEFT(A530,4)+1-1)</f>
        <v>0</v>
      </c>
      <c r="C530" s="1" t="str">
        <f t="shared" si="54"/>
        <v>2025-11-19</v>
      </c>
      <c r="D530" t="str">
        <f t="shared" si="49"/>
        <v>Recs:</v>
      </c>
      <c r="E530" t="str">
        <f t="shared" si="50"/>
        <v>NVDA – NVIDIA Corp</v>
      </c>
      <c r="F530" t="str">
        <f t="shared" si="51"/>
        <v>ERIC – Telefonaktiebolaget LM Ericsson</v>
      </c>
      <c r="G530" t="str">
        <f t="shared" si="52"/>
        <v>VOLV-B.ST – AB Volvo (publ) B</v>
      </c>
      <c r="H530" t="str">
        <f t="shared" si="53"/>
        <v>AZN.ST – AstraZeneca PLC</v>
      </c>
    </row>
    <row r="531" spans="1:8" x14ac:dyDescent="0.35">
      <c r="A531" s="2" t="s">
        <v>0</v>
      </c>
      <c r="B531" s="1" t="b">
        <f t="shared" ref="B531:B594" si="55">ISNUMBER(LEFT(A531,4)+1-1)</f>
        <v>1</v>
      </c>
      <c r="C531" s="1" t="str">
        <f t="shared" ref="C531:C594" si="56">IF(B531,LEFT(A531,10),C530)</f>
        <v>2025-11-19</v>
      </c>
      <c r="D531" t="str">
        <f t="shared" ref="D531:D594" si="57">A533</f>
        <v>NVDA – NVIDIA Corp</v>
      </c>
      <c r="E531" t="str">
        <f t="shared" ref="E531:E594" si="58">A534</f>
        <v>ERIC – Telefonaktiebolaget LM Ericsson</v>
      </c>
      <c r="F531" t="str">
        <f t="shared" ref="F531:F594" si="59">A535</f>
        <v>VOLV-B.ST – AB Volvo (publ) B</v>
      </c>
      <c r="G531" t="str">
        <f t="shared" ref="G531:G594" si="60">A536</f>
        <v>AZN.ST – AstraZeneca PLC</v>
      </c>
      <c r="H531" t="str">
        <f t="shared" ref="H531:H594" si="61">A537</f>
        <v>VOLCAR-B.ST – Volvo Car AB (publ.)</v>
      </c>
    </row>
    <row r="532" spans="1:8" x14ac:dyDescent="0.35">
      <c r="A532" t="s">
        <v>1</v>
      </c>
      <c r="B532" s="1" t="b">
        <f t="shared" si="55"/>
        <v>0</v>
      </c>
      <c r="C532" s="1" t="str">
        <f t="shared" si="56"/>
        <v>2025-11-19</v>
      </c>
      <c r="D532" t="str">
        <f t="shared" si="57"/>
        <v>ERIC – Telefonaktiebolaget LM Ericsson</v>
      </c>
      <c r="E532" t="str">
        <f t="shared" si="58"/>
        <v>VOLV-B.ST – AB Volvo (publ) B</v>
      </c>
      <c r="F532" t="str">
        <f t="shared" si="59"/>
        <v>AZN.ST – AstraZeneca PLC</v>
      </c>
      <c r="G532" t="str">
        <f t="shared" si="60"/>
        <v>VOLCAR-B.ST – Volvo Car AB (publ.)</v>
      </c>
      <c r="H532" t="str">
        <f t="shared" si="61"/>
        <v>Perf (prev recs):</v>
      </c>
    </row>
    <row r="533" spans="1:8" x14ac:dyDescent="0.35">
      <c r="A533" t="s">
        <v>2</v>
      </c>
      <c r="B533" s="1" t="b">
        <f t="shared" si="55"/>
        <v>0</v>
      </c>
      <c r="C533" s="1" t="str">
        <f t="shared" si="56"/>
        <v>2025-11-19</v>
      </c>
      <c r="D533" t="str">
        <f t="shared" si="57"/>
        <v>VOLV-B.ST – AB Volvo (publ) B</v>
      </c>
      <c r="E533" t="str">
        <f t="shared" si="58"/>
        <v>AZN.ST – AstraZeneca PLC</v>
      </c>
      <c r="F533" t="str">
        <f t="shared" si="59"/>
        <v>VOLCAR-B.ST – Volvo Car AB (publ.)</v>
      </c>
      <c r="G533" t="str">
        <f t="shared" si="60"/>
        <v>Perf (prev recs):</v>
      </c>
      <c r="H533" t="str">
        <f t="shared" si="61"/>
        <v>N/A</v>
      </c>
    </row>
    <row r="534" spans="1:8" x14ac:dyDescent="0.35">
      <c r="A534" t="s">
        <v>3</v>
      </c>
      <c r="B534" s="1" t="b">
        <f t="shared" si="55"/>
        <v>0</v>
      </c>
      <c r="C534" s="1" t="str">
        <f t="shared" si="56"/>
        <v>2025-11-19</v>
      </c>
      <c r="D534" t="str">
        <f t="shared" si="57"/>
        <v>AZN.ST – AstraZeneca PLC</v>
      </c>
      <c r="E534" t="str">
        <f t="shared" si="58"/>
        <v>VOLCAR-B.ST – Volvo Car AB (publ.)</v>
      </c>
      <c r="F534" t="str">
        <f t="shared" si="59"/>
        <v>Perf (prev recs):</v>
      </c>
      <c r="G534" t="str">
        <f t="shared" si="60"/>
        <v>N/A</v>
      </c>
      <c r="H534" t="str">
        <f t="shared" si="61"/>
        <v>N/A</v>
      </c>
    </row>
    <row r="535" spans="1:8" x14ac:dyDescent="0.35">
      <c r="A535" t="s">
        <v>4</v>
      </c>
      <c r="B535" s="1" t="b">
        <f t="shared" si="55"/>
        <v>0</v>
      </c>
      <c r="C535" s="1" t="str">
        <f t="shared" si="56"/>
        <v>2025-11-19</v>
      </c>
      <c r="D535" t="str">
        <f t="shared" si="57"/>
        <v>VOLCAR-B.ST – Volvo Car AB (publ.)</v>
      </c>
      <c r="E535" t="str">
        <f t="shared" si="58"/>
        <v>Perf (prev recs):</v>
      </c>
      <c r="F535" t="str">
        <f t="shared" si="59"/>
        <v>N/A</v>
      </c>
      <c r="G535" t="str">
        <f t="shared" si="60"/>
        <v>N/A</v>
      </c>
      <c r="H535" t="str">
        <f t="shared" si="61"/>
        <v>N/A</v>
      </c>
    </row>
    <row r="536" spans="1:8" x14ac:dyDescent="0.35">
      <c r="A536" t="s">
        <v>5</v>
      </c>
      <c r="B536" s="1" t="b">
        <f t="shared" si="55"/>
        <v>0</v>
      </c>
      <c r="C536" s="1" t="str">
        <f t="shared" si="56"/>
        <v>2025-11-19</v>
      </c>
      <c r="D536" t="str">
        <f t="shared" si="57"/>
        <v>Perf (prev recs):</v>
      </c>
      <c r="E536" t="str">
        <f t="shared" si="58"/>
        <v>N/A</v>
      </c>
      <c r="F536" t="str">
        <f t="shared" si="59"/>
        <v>N/A</v>
      </c>
      <c r="G536" t="str">
        <f t="shared" si="60"/>
        <v>N/A</v>
      </c>
      <c r="H536" t="str">
        <f t="shared" si="61"/>
        <v>N/A</v>
      </c>
    </row>
    <row r="537" spans="1:8" x14ac:dyDescent="0.35">
      <c r="A537" t="s">
        <v>6</v>
      </c>
      <c r="B537" s="1" t="b">
        <f t="shared" si="55"/>
        <v>0</v>
      </c>
      <c r="C537" s="1" t="str">
        <f t="shared" si="56"/>
        <v>2025-11-19</v>
      </c>
      <c r="D537" t="str">
        <f t="shared" si="57"/>
        <v>N/A</v>
      </c>
      <c r="E537" t="str">
        <f t="shared" si="58"/>
        <v>N/A</v>
      </c>
      <c r="F537" t="str">
        <f t="shared" si="59"/>
        <v>N/A</v>
      </c>
      <c r="G537" t="str">
        <f t="shared" si="60"/>
        <v>N/A</v>
      </c>
      <c r="H537" t="str">
        <f t="shared" si="61"/>
        <v>N/A</v>
      </c>
    </row>
    <row r="538" spans="1:8" x14ac:dyDescent="0.35">
      <c r="A538" t="s">
        <v>7</v>
      </c>
      <c r="B538" s="1" t="b">
        <f t="shared" si="55"/>
        <v>0</v>
      </c>
      <c r="C538" s="1" t="str">
        <f t="shared" si="56"/>
        <v>2025-11-19</v>
      </c>
      <c r="D538" t="str">
        <f t="shared" si="57"/>
        <v>N/A</v>
      </c>
      <c r="E538" t="str">
        <f t="shared" si="58"/>
        <v>N/A</v>
      </c>
      <c r="F538" t="str">
        <f t="shared" si="59"/>
        <v>N/A</v>
      </c>
      <c r="G538" t="str">
        <f t="shared" si="60"/>
        <v>N/A</v>
      </c>
      <c r="H538" t="str">
        <f t="shared" si="61"/>
        <v>Avg N/A</v>
      </c>
    </row>
    <row r="539" spans="1:8" x14ac:dyDescent="0.35">
      <c r="A539" t="s">
        <v>8</v>
      </c>
      <c r="B539" s="1" t="b">
        <f t="shared" si="55"/>
        <v>0</v>
      </c>
      <c r="C539" s="1" t="str">
        <f t="shared" si="56"/>
        <v>2025-11-19</v>
      </c>
      <c r="D539" t="str">
        <f t="shared" si="57"/>
        <v>N/A</v>
      </c>
      <c r="E539" t="str">
        <f t="shared" si="58"/>
        <v>N/A</v>
      </c>
      <c r="F539" t="str">
        <f t="shared" si="59"/>
        <v>N/A</v>
      </c>
      <c r="G539" t="str">
        <f t="shared" si="60"/>
        <v>Avg N/A</v>
      </c>
      <c r="H539" t="str">
        <f t="shared" si="61"/>
        <v>S&amp;P500 N/A</v>
      </c>
    </row>
    <row r="540" spans="1:8" x14ac:dyDescent="0.35">
      <c r="A540" t="s">
        <v>8</v>
      </c>
      <c r="B540" s="1" t="b">
        <f t="shared" si="55"/>
        <v>0</v>
      </c>
      <c r="C540" s="1" t="str">
        <f t="shared" si="56"/>
        <v>2025-11-19</v>
      </c>
      <c r="D540" t="str">
        <f t="shared" si="57"/>
        <v>N/A</v>
      </c>
      <c r="E540" t="str">
        <f t="shared" si="58"/>
        <v>N/A</v>
      </c>
      <c r="F540" t="str">
        <f t="shared" si="59"/>
        <v>Avg N/A</v>
      </c>
      <c r="G540" t="str">
        <f t="shared" si="60"/>
        <v>S&amp;P500 N/A</v>
      </c>
      <c r="H540">
        <f t="shared" si="61"/>
        <v>0</v>
      </c>
    </row>
    <row r="541" spans="1:8" x14ac:dyDescent="0.35">
      <c r="A541" t="s">
        <v>8</v>
      </c>
      <c r="B541" s="1" t="b">
        <f t="shared" si="55"/>
        <v>0</v>
      </c>
      <c r="C541" s="1" t="str">
        <f t="shared" si="56"/>
        <v>2025-11-19</v>
      </c>
      <c r="D541" t="str">
        <f t="shared" si="57"/>
        <v>N/A</v>
      </c>
      <c r="E541" t="str">
        <f t="shared" si="58"/>
        <v>Avg N/A</v>
      </c>
      <c r="F541" t="str">
        <f t="shared" si="59"/>
        <v>S&amp;P500 N/A</v>
      </c>
      <c r="G541">
        <f t="shared" si="60"/>
        <v>0</v>
      </c>
      <c r="H541" t="str">
        <f t="shared" si="61"/>
        <v>2025-11-20 - Thursday</v>
      </c>
    </row>
    <row r="542" spans="1:8" x14ac:dyDescent="0.35">
      <c r="A542" t="s">
        <v>8</v>
      </c>
      <c r="B542" s="1" t="b">
        <f t="shared" si="55"/>
        <v>0</v>
      </c>
      <c r="C542" s="1" t="str">
        <f t="shared" si="56"/>
        <v>2025-11-19</v>
      </c>
      <c r="D542" t="str">
        <f t="shared" si="57"/>
        <v>Avg N/A</v>
      </c>
      <c r="E542" t="str">
        <f t="shared" si="58"/>
        <v>S&amp;P500 N/A</v>
      </c>
      <c r="F542">
        <f t="shared" si="59"/>
        <v>0</v>
      </c>
      <c r="G542" t="str">
        <f t="shared" si="60"/>
        <v>2025-11-20 - Thursday</v>
      </c>
      <c r="H542" t="str">
        <f t="shared" si="61"/>
        <v>Recs:</v>
      </c>
    </row>
    <row r="543" spans="1:8" x14ac:dyDescent="0.35">
      <c r="A543" t="s">
        <v>8</v>
      </c>
      <c r="B543" s="1" t="b">
        <f t="shared" si="55"/>
        <v>0</v>
      </c>
      <c r="C543" s="1" t="str">
        <f t="shared" si="56"/>
        <v>2025-11-19</v>
      </c>
      <c r="D543" t="str">
        <f t="shared" si="57"/>
        <v>S&amp;P500 N/A</v>
      </c>
      <c r="E543">
        <f t="shared" si="58"/>
        <v>0</v>
      </c>
      <c r="F543" t="str">
        <f t="shared" si="59"/>
        <v>2025-11-20 - Thursday</v>
      </c>
      <c r="G543" t="str">
        <f t="shared" si="60"/>
        <v>Recs:</v>
      </c>
      <c r="H543" t="str">
        <f t="shared" si="61"/>
        <v>NVDA – NVIDIA Corp</v>
      </c>
    </row>
    <row r="544" spans="1:8" x14ac:dyDescent="0.35">
      <c r="A544" t="s">
        <v>9</v>
      </c>
      <c r="B544" s="1" t="b">
        <f t="shared" si="55"/>
        <v>0</v>
      </c>
      <c r="C544" s="1" t="str">
        <f t="shared" si="56"/>
        <v>2025-11-19</v>
      </c>
      <c r="D544">
        <f t="shared" si="57"/>
        <v>0</v>
      </c>
      <c r="E544" t="str">
        <f t="shared" si="58"/>
        <v>2025-11-20 - Thursday</v>
      </c>
      <c r="F544" t="str">
        <f t="shared" si="59"/>
        <v>Recs:</v>
      </c>
      <c r="G544" t="str">
        <f t="shared" si="60"/>
        <v>NVDA – NVIDIA Corp</v>
      </c>
      <c r="H544" t="str">
        <f t="shared" si="61"/>
        <v>AMD – Advanced Micro Devices Inc.</v>
      </c>
    </row>
    <row r="545" spans="1:8" x14ac:dyDescent="0.35">
      <c r="A545" t="s">
        <v>10</v>
      </c>
      <c r="B545" s="1" t="b">
        <f t="shared" si="55"/>
        <v>0</v>
      </c>
      <c r="C545" s="1" t="str">
        <f t="shared" si="56"/>
        <v>2025-11-19</v>
      </c>
      <c r="D545" t="str">
        <f t="shared" si="57"/>
        <v>2025-11-20 - Thursday</v>
      </c>
      <c r="E545" t="str">
        <f t="shared" si="58"/>
        <v>Recs:</v>
      </c>
      <c r="F545" t="str">
        <f t="shared" si="59"/>
        <v>NVDA – NVIDIA Corp</v>
      </c>
      <c r="G545" t="str">
        <f t="shared" si="60"/>
        <v>AMD – Advanced Micro Devices Inc.</v>
      </c>
      <c r="H545" t="str">
        <f t="shared" si="61"/>
        <v>WMT – Walmart Inc.</v>
      </c>
    </row>
    <row r="546" spans="1:8" x14ac:dyDescent="0.35">
      <c r="B546" s="1" t="b">
        <f t="shared" si="55"/>
        <v>0</v>
      </c>
      <c r="C546" s="1" t="str">
        <f t="shared" si="56"/>
        <v>2025-11-19</v>
      </c>
      <c r="D546" t="str">
        <f t="shared" si="57"/>
        <v>Recs:</v>
      </c>
      <c r="E546" t="str">
        <f t="shared" si="58"/>
        <v>NVDA – NVIDIA Corp</v>
      </c>
      <c r="F546" t="str">
        <f t="shared" si="59"/>
        <v>AMD – Advanced Micro Devices Inc.</v>
      </c>
      <c r="G546" t="str">
        <f t="shared" si="60"/>
        <v>WMT – Walmart Inc.</v>
      </c>
      <c r="H546" t="str">
        <f t="shared" si="61"/>
        <v>SYNSAM.ST – Synsam AB (publ)</v>
      </c>
    </row>
    <row r="547" spans="1:8" x14ac:dyDescent="0.35">
      <c r="A547" s="2" t="s">
        <v>11</v>
      </c>
      <c r="B547" s="1" t="b">
        <f t="shared" si="55"/>
        <v>1</v>
      </c>
      <c r="C547" s="1" t="str">
        <f t="shared" si="56"/>
        <v>2025-11-20</v>
      </c>
      <c r="D547" t="str">
        <f t="shared" si="57"/>
        <v>NVDA – NVIDIA Corp</v>
      </c>
      <c r="E547" t="str">
        <f t="shared" si="58"/>
        <v>AMD – Advanced Micro Devices Inc.</v>
      </c>
      <c r="F547" t="str">
        <f t="shared" si="59"/>
        <v>WMT – Walmart Inc.</v>
      </c>
      <c r="G547" t="str">
        <f t="shared" si="60"/>
        <v>SYNSAM.ST – Synsam AB (publ)</v>
      </c>
      <c r="H547" t="str">
        <f t="shared" si="61"/>
        <v>HUFV-A.ST – Hufvudstaden AB (publ)</v>
      </c>
    </row>
    <row r="548" spans="1:8" x14ac:dyDescent="0.35">
      <c r="A548" t="s">
        <v>1</v>
      </c>
      <c r="B548" s="1" t="b">
        <f t="shared" si="55"/>
        <v>0</v>
      </c>
      <c r="C548" s="1" t="str">
        <f t="shared" si="56"/>
        <v>2025-11-20</v>
      </c>
      <c r="D548" t="str">
        <f t="shared" si="57"/>
        <v>AMD – Advanced Micro Devices Inc.</v>
      </c>
      <c r="E548" t="str">
        <f t="shared" si="58"/>
        <v>WMT – Walmart Inc.</v>
      </c>
      <c r="F548" t="str">
        <f t="shared" si="59"/>
        <v>SYNSAM.ST – Synsam AB (publ)</v>
      </c>
      <c r="G548" t="str">
        <f t="shared" si="60"/>
        <v>HUFV-A.ST – Hufvudstaden AB (publ)</v>
      </c>
      <c r="H548" t="str">
        <f t="shared" si="61"/>
        <v>Perf (prev recs):</v>
      </c>
    </row>
    <row r="549" spans="1:8" x14ac:dyDescent="0.35">
      <c r="A549" t="s">
        <v>2</v>
      </c>
      <c r="B549" s="1" t="b">
        <f t="shared" si="55"/>
        <v>0</v>
      </c>
      <c r="C549" s="1" t="str">
        <f t="shared" si="56"/>
        <v>2025-11-20</v>
      </c>
      <c r="D549" t="str">
        <f t="shared" si="57"/>
        <v>WMT – Walmart Inc.</v>
      </c>
      <c r="E549" t="str">
        <f t="shared" si="58"/>
        <v>SYNSAM.ST – Synsam AB (publ)</v>
      </c>
      <c r="F549" t="str">
        <f t="shared" si="59"/>
        <v>HUFV-A.ST – Hufvudstaden AB (publ)</v>
      </c>
      <c r="G549" t="str">
        <f t="shared" si="60"/>
        <v>Perf (prev recs):</v>
      </c>
      <c r="H549" t="str">
        <f t="shared" si="61"/>
        <v>NVDA +2.85% Yahoo Finance+2Investing.com+2</v>
      </c>
    </row>
    <row r="550" spans="1:8" x14ac:dyDescent="0.35">
      <c r="A550" t="s">
        <v>12</v>
      </c>
      <c r="B550" s="1" t="b">
        <f t="shared" si="55"/>
        <v>0</v>
      </c>
      <c r="C550" s="1" t="str">
        <f t="shared" si="56"/>
        <v>2025-11-20</v>
      </c>
      <c r="D550" t="str">
        <f t="shared" si="57"/>
        <v>SYNSAM.ST – Synsam AB (publ)</v>
      </c>
      <c r="E550" t="str">
        <f t="shared" si="58"/>
        <v>HUFV-A.ST – Hufvudstaden AB (publ)</v>
      </c>
      <c r="F550" t="str">
        <f t="shared" si="59"/>
        <v>Perf (prev recs):</v>
      </c>
      <c r="G550" t="str">
        <f t="shared" si="60"/>
        <v>NVDA +2.85% Yahoo Finance+2Investing.com+2</v>
      </c>
      <c r="H550" t="str">
        <f t="shared" si="61"/>
        <v>ERIC -1.89% Yahoo Finance+2StockAnalysis+2</v>
      </c>
    </row>
    <row r="551" spans="1:8" x14ac:dyDescent="0.35">
      <c r="A551" t="s">
        <v>13</v>
      </c>
      <c r="B551" s="1" t="b">
        <f t="shared" si="55"/>
        <v>0</v>
      </c>
      <c r="C551" s="1" t="str">
        <f t="shared" si="56"/>
        <v>2025-11-20</v>
      </c>
      <c r="D551" t="str">
        <f t="shared" si="57"/>
        <v>HUFV-A.ST – Hufvudstaden AB (publ)</v>
      </c>
      <c r="E551" t="str">
        <f t="shared" si="58"/>
        <v>Perf (prev recs):</v>
      </c>
      <c r="F551" t="str">
        <f t="shared" si="59"/>
        <v>NVDA +2.85% Yahoo Finance+2Investing.com+2</v>
      </c>
      <c r="G551" t="str">
        <f t="shared" si="60"/>
        <v>ERIC -1.89% Yahoo Finance+2StockAnalysis+2</v>
      </c>
      <c r="H551" t="str">
        <f t="shared" si="61"/>
        <v>VOLV-B.ST +2.61% Yahoo Finance+2StockAnalysis+2</v>
      </c>
    </row>
    <row r="552" spans="1:8" x14ac:dyDescent="0.35">
      <c r="A552" t="s">
        <v>14</v>
      </c>
      <c r="B552" s="1" t="b">
        <f t="shared" si="55"/>
        <v>0</v>
      </c>
      <c r="C552" s="1" t="str">
        <f t="shared" si="56"/>
        <v>2025-11-20</v>
      </c>
      <c r="D552" t="str">
        <f t="shared" si="57"/>
        <v>Perf (prev recs):</v>
      </c>
      <c r="E552" t="str">
        <f t="shared" si="58"/>
        <v>NVDA +2.85% Yahoo Finance+2Investing.com+2</v>
      </c>
      <c r="F552" t="str">
        <f t="shared" si="59"/>
        <v>ERIC -1.89% Yahoo Finance+2StockAnalysis+2</v>
      </c>
      <c r="G552" t="str">
        <f t="shared" si="60"/>
        <v>VOLV-B.ST +2.61% Yahoo Finance+2StockAnalysis+2</v>
      </c>
      <c r="H552" t="str">
        <f t="shared" si="61"/>
        <v>AZN.ST +0.83% Yahoo Finance+2AstraZeneca+2</v>
      </c>
    </row>
    <row r="553" spans="1:8" x14ac:dyDescent="0.35">
      <c r="A553" t="s">
        <v>15</v>
      </c>
      <c r="B553" s="1" t="b">
        <f t="shared" si="55"/>
        <v>0</v>
      </c>
      <c r="C553" s="1" t="str">
        <f t="shared" si="56"/>
        <v>2025-11-20</v>
      </c>
      <c r="D553" t="str">
        <f t="shared" si="57"/>
        <v>NVDA +2.85% Yahoo Finance+2Investing.com+2</v>
      </c>
      <c r="E553" t="str">
        <f t="shared" si="58"/>
        <v>ERIC -1.89% Yahoo Finance+2StockAnalysis+2</v>
      </c>
      <c r="F553" t="str">
        <f t="shared" si="59"/>
        <v>VOLV-B.ST +2.61% Yahoo Finance+2StockAnalysis+2</v>
      </c>
      <c r="G553" t="str">
        <f t="shared" si="60"/>
        <v>AZN.ST +0.83% Yahoo Finance+2AstraZeneca+2</v>
      </c>
      <c r="H553" t="str">
        <f t="shared" si="61"/>
        <v>VOLCAR-B.ST +1.94% Yahoo Finance+2Investing.com+2</v>
      </c>
    </row>
    <row r="554" spans="1:8" x14ac:dyDescent="0.35">
      <c r="A554" t="s">
        <v>7</v>
      </c>
      <c r="B554" s="1" t="b">
        <f t="shared" si="55"/>
        <v>0</v>
      </c>
      <c r="C554" s="1" t="str">
        <f t="shared" si="56"/>
        <v>2025-11-20</v>
      </c>
      <c r="D554" t="str">
        <f t="shared" si="57"/>
        <v>ERIC -1.89% Yahoo Finance+2StockAnalysis+2</v>
      </c>
      <c r="E554" t="str">
        <f t="shared" si="58"/>
        <v>VOLV-B.ST +2.61% Yahoo Finance+2StockAnalysis+2</v>
      </c>
      <c r="F554" t="str">
        <f t="shared" si="59"/>
        <v>AZN.ST +0.83% Yahoo Finance+2AstraZeneca+2</v>
      </c>
      <c r="G554" t="str">
        <f t="shared" si="60"/>
        <v>VOLCAR-B.ST +1.94% Yahoo Finance+2Investing.com+2</v>
      </c>
      <c r="H554" t="str">
        <f t="shared" si="61"/>
        <v>Avg +1.27%</v>
      </c>
    </row>
    <row r="555" spans="1:8" x14ac:dyDescent="0.35">
      <c r="A555" t="s">
        <v>16</v>
      </c>
      <c r="B555" s="1" t="b">
        <f t="shared" si="55"/>
        <v>0</v>
      </c>
      <c r="C555" s="1" t="str">
        <f t="shared" si="56"/>
        <v>2025-11-20</v>
      </c>
      <c r="D555" t="str">
        <f t="shared" si="57"/>
        <v>VOLV-B.ST +2.61% Yahoo Finance+2StockAnalysis+2</v>
      </c>
      <c r="E555" t="str">
        <f t="shared" si="58"/>
        <v>AZN.ST +0.83% Yahoo Finance+2AstraZeneca+2</v>
      </c>
      <c r="F555" t="str">
        <f t="shared" si="59"/>
        <v>VOLCAR-B.ST +1.94% Yahoo Finance+2Investing.com+2</v>
      </c>
      <c r="G555" t="str">
        <f t="shared" si="60"/>
        <v>Avg +1.27%</v>
      </c>
      <c r="H555" t="str">
        <f t="shared" si="61"/>
        <v>S&amp;P500 +0.38% Yahoo Finance+2Investing.com+2</v>
      </c>
    </row>
    <row r="556" spans="1:8" x14ac:dyDescent="0.35">
      <c r="A556" t="s">
        <v>17</v>
      </c>
      <c r="B556" s="1" t="b">
        <f t="shared" si="55"/>
        <v>0</v>
      </c>
      <c r="C556" s="1" t="str">
        <f t="shared" si="56"/>
        <v>2025-11-20</v>
      </c>
      <c r="D556" t="str">
        <f t="shared" si="57"/>
        <v>AZN.ST +0.83% Yahoo Finance+2AstraZeneca+2</v>
      </c>
      <c r="E556" t="str">
        <f t="shared" si="58"/>
        <v>VOLCAR-B.ST +1.94% Yahoo Finance+2Investing.com+2</v>
      </c>
      <c r="F556" t="str">
        <f t="shared" si="59"/>
        <v>Avg +1.27%</v>
      </c>
      <c r="G556" t="str">
        <f t="shared" si="60"/>
        <v>S&amp;P500 +0.38% Yahoo Finance+2Investing.com+2</v>
      </c>
      <c r="H556">
        <f t="shared" si="61"/>
        <v>0</v>
      </c>
    </row>
    <row r="557" spans="1:8" x14ac:dyDescent="0.35">
      <c r="A557" t="s">
        <v>18</v>
      </c>
      <c r="B557" s="1" t="b">
        <f t="shared" si="55"/>
        <v>0</v>
      </c>
      <c r="C557" s="1" t="str">
        <f t="shared" si="56"/>
        <v>2025-11-20</v>
      </c>
      <c r="D557" t="str">
        <f t="shared" si="57"/>
        <v>VOLCAR-B.ST +1.94% Yahoo Finance+2Investing.com+2</v>
      </c>
      <c r="E557" t="str">
        <f t="shared" si="58"/>
        <v>Avg +1.27%</v>
      </c>
      <c r="F557" t="str">
        <f t="shared" si="59"/>
        <v>S&amp;P500 +0.38% Yahoo Finance+2Investing.com+2</v>
      </c>
      <c r="G557">
        <f t="shared" si="60"/>
        <v>0</v>
      </c>
      <c r="H557" t="str">
        <f t="shared" si="61"/>
        <v>2025-11-21 - Friday</v>
      </c>
    </row>
    <row r="558" spans="1:8" x14ac:dyDescent="0.35">
      <c r="A558" t="s">
        <v>19</v>
      </c>
      <c r="B558" s="1" t="b">
        <f t="shared" si="55"/>
        <v>0</v>
      </c>
      <c r="C558" s="1" t="str">
        <f t="shared" si="56"/>
        <v>2025-11-20</v>
      </c>
      <c r="D558" t="str">
        <f t="shared" si="57"/>
        <v>Avg +1.27%</v>
      </c>
      <c r="E558" t="str">
        <f t="shared" si="58"/>
        <v>S&amp;P500 +0.38% Yahoo Finance+2Investing.com+2</v>
      </c>
      <c r="F558">
        <f t="shared" si="59"/>
        <v>0</v>
      </c>
      <c r="G558" t="str">
        <f t="shared" si="60"/>
        <v>2025-11-21 - Friday</v>
      </c>
      <c r="H558" t="str">
        <f t="shared" si="61"/>
        <v>Recs:</v>
      </c>
    </row>
    <row r="559" spans="1:8" x14ac:dyDescent="0.35">
      <c r="A559" t="s">
        <v>20</v>
      </c>
      <c r="B559" s="1" t="b">
        <f t="shared" si="55"/>
        <v>0</v>
      </c>
      <c r="C559" s="1" t="str">
        <f t="shared" si="56"/>
        <v>2025-11-20</v>
      </c>
      <c r="D559" t="str">
        <f t="shared" si="57"/>
        <v>S&amp;P500 +0.38% Yahoo Finance+2Investing.com+2</v>
      </c>
      <c r="E559">
        <f t="shared" si="58"/>
        <v>0</v>
      </c>
      <c r="F559" t="str">
        <f t="shared" si="59"/>
        <v>2025-11-21 - Friday</v>
      </c>
      <c r="G559" t="str">
        <f t="shared" si="60"/>
        <v>Recs:</v>
      </c>
      <c r="H559" t="str">
        <f t="shared" si="61"/>
        <v>NVDA – NVIDIA Corporation</v>
      </c>
    </row>
    <row r="560" spans="1:8" x14ac:dyDescent="0.35">
      <c r="A560" t="s">
        <v>21</v>
      </c>
      <c r="B560" s="1" t="b">
        <f t="shared" si="55"/>
        <v>0</v>
      </c>
      <c r="C560" s="1" t="str">
        <f t="shared" si="56"/>
        <v>2025-11-20</v>
      </c>
      <c r="D560">
        <f t="shared" si="57"/>
        <v>0</v>
      </c>
      <c r="E560" t="str">
        <f t="shared" si="58"/>
        <v>2025-11-21 - Friday</v>
      </c>
      <c r="F560" t="str">
        <f t="shared" si="59"/>
        <v>Recs:</v>
      </c>
      <c r="G560" t="str">
        <f t="shared" si="60"/>
        <v>NVDA – NVIDIA Corporation</v>
      </c>
      <c r="H560" t="str">
        <f t="shared" si="61"/>
        <v>ERIC – Telefonaktiebolaget LM Ericsson</v>
      </c>
    </row>
    <row r="561" spans="1:8" x14ac:dyDescent="0.35">
      <c r="A561" t="s">
        <v>22</v>
      </c>
      <c r="B561" s="1" t="b">
        <f t="shared" si="55"/>
        <v>0</v>
      </c>
      <c r="C561" s="1" t="str">
        <f t="shared" si="56"/>
        <v>2025-11-20</v>
      </c>
      <c r="D561" t="str">
        <f t="shared" si="57"/>
        <v>2025-11-21 - Friday</v>
      </c>
      <c r="E561" t="str">
        <f t="shared" si="58"/>
        <v>Recs:</v>
      </c>
      <c r="F561" t="str">
        <f t="shared" si="59"/>
        <v>NVDA – NVIDIA Corporation</v>
      </c>
      <c r="G561" t="str">
        <f t="shared" si="60"/>
        <v>ERIC – Telefonaktiebolaget LM Ericsson</v>
      </c>
      <c r="H561" t="str">
        <f t="shared" si="61"/>
        <v>WMT – Walmart Inc.</v>
      </c>
    </row>
    <row r="562" spans="1:8" x14ac:dyDescent="0.35">
      <c r="B562" s="1" t="b">
        <f t="shared" si="55"/>
        <v>0</v>
      </c>
      <c r="C562" s="1" t="str">
        <f t="shared" si="56"/>
        <v>2025-11-20</v>
      </c>
      <c r="D562" t="str">
        <f t="shared" si="57"/>
        <v>Recs:</v>
      </c>
      <c r="E562" t="str">
        <f t="shared" si="58"/>
        <v>NVDA – NVIDIA Corporation</v>
      </c>
      <c r="F562" t="str">
        <f t="shared" si="59"/>
        <v>ERIC – Telefonaktiebolaget LM Ericsson</v>
      </c>
      <c r="G562" t="str">
        <f t="shared" si="60"/>
        <v>WMT – Walmart Inc.</v>
      </c>
      <c r="H562" t="str">
        <f t="shared" si="61"/>
        <v>TEL – Telia Company AB</v>
      </c>
    </row>
    <row r="563" spans="1:8" x14ac:dyDescent="0.35">
      <c r="A563" s="2" t="s">
        <v>23</v>
      </c>
      <c r="B563" s="1" t="b">
        <f t="shared" si="55"/>
        <v>1</v>
      </c>
      <c r="C563" s="1" t="str">
        <f t="shared" si="56"/>
        <v>2025-11-21</v>
      </c>
      <c r="D563" t="str">
        <f t="shared" si="57"/>
        <v>NVDA – NVIDIA Corporation</v>
      </c>
      <c r="E563" t="str">
        <f t="shared" si="58"/>
        <v>ERIC – Telefonaktiebolaget LM Ericsson</v>
      </c>
      <c r="F563" t="str">
        <f t="shared" si="59"/>
        <v>WMT – Walmart Inc.</v>
      </c>
      <c r="G563" t="str">
        <f t="shared" si="60"/>
        <v>TEL – Telia Company AB</v>
      </c>
      <c r="H563" t="str">
        <f t="shared" si="61"/>
        <v>TAK – Takkt AG</v>
      </c>
    </row>
    <row r="564" spans="1:8" x14ac:dyDescent="0.35">
      <c r="A564" t="s">
        <v>1</v>
      </c>
      <c r="B564" s="1" t="b">
        <f t="shared" si="55"/>
        <v>0</v>
      </c>
      <c r="C564" s="1" t="str">
        <f t="shared" si="56"/>
        <v>2025-11-21</v>
      </c>
      <c r="D564" t="str">
        <f t="shared" si="57"/>
        <v>ERIC – Telefonaktiebolaget LM Ericsson</v>
      </c>
      <c r="E564" t="str">
        <f t="shared" si="58"/>
        <v>WMT – Walmart Inc.</v>
      </c>
      <c r="F564" t="str">
        <f t="shared" si="59"/>
        <v>TEL – Telia Company AB</v>
      </c>
      <c r="G564" t="str">
        <f t="shared" si="60"/>
        <v>TAK – Takkt AG</v>
      </c>
      <c r="H564" t="str">
        <f t="shared" si="61"/>
        <v>Perf (prev recs):</v>
      </c>
    </row>
    <row r="565" spans="1:8" x14ac:dyDescent="0.35">
      <c r="A565" t="s">
        <v>24</v>
      </c>
      <c r="B565" s="1" t="b">
        <f t="shared" si="55"/>
        <v>0</v>
      </c>
      <c r="C565" s="1" t="str">
        <f t="shared" si="56"/>
        <v>2025-11-21</v>
      </c>
      <c r="D565" t="str">
        <f t="shared" si="57"/>
        <v>WMT – Walmart Inc.</v>
      </c>
      <c r="E565" t="str">
        <f t="shared" si="58"/>
        <v>TEL – Telia Company AB</v>
      </c>
      <c r="F565" t="str">
        <f t="shared" si="59"/>
        <v>TAK – Takkt AG</v>
      </c>
      <c r="G565" t="str">
        <f t="shared" si="60"/>
        <v>Perf (prev recs):</v>
      </c>
      <c r="H565" t="str">
        <f t="shared" si="61"/>
        <v>NVDA -3.15%</v>
      </c>
    </row>
    <row r="566" spans="1:8" x14ac:dyDescent="0.35">
      <c r="A566" t="s">
        <v>25</v>
      </c>
      <c r="B566" s="1" t="b">
        <f t="shared" si="55"/>
        <v>0</v>
      </c>
      <c r="C566" s="1" t="str">
        <f t="shared" si="56"/>
        <v>2025-11-21</v>
      </c>
      <c r="D566" t="str">
        <f t="shared" si="57"/>
        <v>TEL – Telia Company AB</v>
      </c>
      <c r="E566" t="str">
        <f t="shared" si="58"/>
        <v>TAK – Takkt AG</v>
      </c>
      <c r="F566" t="str">
        <f t="shared" si="59"/>
        <v>Perf (prev recs):</v>
      </c>
      <c r="G566" t="str">
        <f t="shared" si="60"/>
        <v>NVDA -3.15%</v>
      </c>
      <c r="H566" t="str">
        <f t="shared" si="61"/>
        <v>ERIC -2.25%</v>
      </c>
    </row>
    <row r="567" spans="1:8" x14ac:dyDescent="0.35">
      <c r="A567" t="s">
        <v>13</v>
      </c>
      <c r="B567" s="1" t="b">
        <f t="shared" si="55"/>
        <v>0</v>
      </c>
      <c r="C567" s="1" t="str">
        <f t="shared" si="56"/>
        <v>2025-11-21</v>
      </c>
      <c r="D567" t="str">
        <f t="shared" si="57"/>
        <v>TAK – Takkt AG</v>
      </c>
      <c r="E567" t="str">
        <f t="shared" si="58"/>
        <v>Perf (prev recs):</v>
      </c>
      <c r="F567" t="str">
        <f t="shared" si="59"/>
        <v>NVDA -3.15%</v>
      </c>
      <c r="G567" t="str">
        <f t="shared" si="60"/>
        <v>ERIC -2.25%</v>
      </c>
      <c r="H567" t="str">
        <f t="shared" si="61"/>
        <v>VOLV‑B.ST N/A</v>
      </c>
    </row>
    <row r="568" spans="1:8" x14ac:dyDescent="0.35">
      <c r="A568" t="s">
        <v>26</v>
      </c>
      <c r="B568" s="1" t="b">
        <f t="shared" si="55"/>
        <v>0</v>
      </c>
      <c r="C568" s="1" t="str">
        <f t="shared" si="56"/>
        <v>2025-11-21</v>
      </c>
      <c r="D568" t="str">
        <f t="shared" si="57"/>
        <v>Perf (prev recs):</v>
      </c>
      <c r="E568" t="str">
        <f t="shared" si="58"/>
        <v>NVDA -3.15%</v>
      </c>
      <c r="F568" t="str">
        <f t="shared" si="59"/>
        <v>ERIC -2.25%</v>
      </c>
      <c r="G568" t="str">
        <f t="shared" si="60"/>
        <v>VOLV‑B.ST N/A</v>
      </c>
      <c r="H568" t="str">
        <f t="shared" si="61"/>
        <v>AZN.ST N/A</v>
      </c>
    </row>
    <row r="569" spans="1:8" x14ac:dyDescent="0.35">
      <c r="A569" t="s">
        <v>27</v>
      </c>
      <c r="B569" s="1" t="b">
        <f t="shared" si="55"/>
        <v>0</v>
      </c>
      <c r="C569" s="1" t="str">
        <f t="shared" si="56"/>
        <v>2025-11-21</v>
      </c>
      <c r="D569" t="str">
        <f t="shared" si="57"/>
        <v>NVDA -3.15%</v>
      </c>
      <c r="E569" t="str">
        <f t="shared" si="58"/>
        <v>ERIC -2.25%</v>
      </c>
      <c r="F569" t="str">
        <f t="shared" si="59"/>
        <v>VOLV‑B.ST N/A</v>
      </c>
      <c r="G569" t="str">
        <f t="shared" si="60"/>
        <v>AZN.ST N/A</v>
      </c>
      <c r="H569" t="str">
        <f t="shared" si="61"/>
        <v>VOLCAR‑B.ST N/A</v>
      </c>
    </row>
    <row r="570" spans="1:8" x14ac:dyDescent="0.35">
      <c r="A570" t="s">
        <v>7</v>
      </c>
      <c r="B570" s="1" t="b">
        <f t="shared" si="55"/>
        <v>0</v>
      </c>
      <c r="C570" s="1" t="str">
        <f t="shared" si="56"/>
        <v>2025-11-21</v>
      </c>
      <c r="D570" t="str">
        <f t="shared" si="57"/>
        <v>ERIC -2.25%</v>
      </c>
      <c r="E570" t="str">
        <f t="shared" si="58"/>
        <v>VOLV‑B.ST N/A</v>
      </c>
      <c r="F570" t="str">
        <f t="shared" si="59"/>
        <v>AZN.ST N/A</v>
      </c>
      <c r="G570" t="str">
        <f t="shared" si="60"/>
        <v>VOLCAR‑B.ST N/A</v>
      </c>
      <c r="H570" t="str">
        <f t="shared" si="61"/>
        <v>Avg -1.80%</v>
      </c>
    </row>
    <row r="571" spans="1:8" x14ac:dyDescent="0.35">
      <c r="A571" t="s">
        <v>28</v>
      </c>
      <c r="B571" s="1" t="b">
        <f t="shared" si="55"/>
        <v>0</v>
      </c>
      <c r="C571" s="1" t="str">
        <f t="shared" si="56"/>
        <v>2025-11-21</v>
      </c>
      <c r="D571" t="str">
        <f t="shared" si="57"/>
        <v>VOLV‑B.ST N/A</v>
      </c>
      <c r="E571" t="str">
        <f t="shared" si="58"/>
        <v>AZN.ST N/A</v>
      </c>
      <c r="F571" t="str">
        <f t="shared" si="59"/>
        <v>VOLCAR‑B.ST N/A</v>
      </c>
      <c r="G571" t="str">
        <f t="shared" si="60"/>
        <v>Avg -1.80%</v>
      </c>
      <c r="H571" t="str">
        <f t="shared" si="61"/>
        <v>S&amp;P500 -1.56%</v>
      </c>
    </row>
    <row r="572" spans="1:8" x14ac:dyDescent="0.35">
      <c r="A572" t="s">
        <v>29</v>
      </c>
      <c r="B572" s="1" t="b">
        <f t="shared" si="55"/>
        <v>0</v>
      </c>
      <c r="C572" s="1" t="str">
        <f t="shared" si="56"/>
        <v>2025-11-21</v>
      </c>
      <c r="D572" t="str">
        <f t="shared" si="57"/>
        <v>AZN.ST N/A</v>
      </c>
      <c r="E572" t="str">
        <f t="shared" si="58"/>
        <v>VOLCAR‑B.ST N/A</v>
      </c>
      <c r="F572" t="str">
        <f t="shared" si="59"/>
        <v>Avg -1.80%</v>
      </c>
      <c r="G572" t="str">
        <f t="shared" si="60"/>
        <v>S&amp;P500 -1.56%</v>
      </c>
      <c r="H572">
        <f t="shared" si="61"/>
        <v>0</v>
      </c>
    </row>
    <row r="573" spans="1:8" x14ac:dyDescent="0.35">
      <c r="A573" t="s">
        <v>30</v>
      </c>
      <c r="B573" s="1" t="b">
        <f t="shared" si="55"/>
        <v>0</v>
      </c>
      <c r="C573" s="1" t="str">
        <f t="shared" si="56"/>
        <v>2025-11-21</v>
      </c>
      <c r="D573" t="str">
        <f t="shared" si="57"/>
        <v>VOLCAR‑B.ST N/A</v>
      </c>
      <c r="E573" t="str">
        <f t="shared" si="58"/>
        <v>Avg -1.80%</v>
      </c>
      <c r="F573" t="str">
        <f t="shared" si="59"/>
        <v>S&amp;P500 -1.56%</v>
      </c>
      <c r="G573">
        <f t="shared" si="60"/>
        <v>0</v>
      </c>
      <c r="H573" t="str">
        <f t="shared" si="61"/>
        <v>2025-11-22 - Saturday</v>
      </c>
    </row>
    <row r="574" spans="1:8" x14ac:dyDescent="0.35">
      <c r="A574" t="s">
        <v>31</v>
      </c>
      <c r="B574" s="1" t="b">
        <f t="shared" si="55"/>
        <v>0</v>
      </c>
      <c r="C574" s="1" t="str">
        <f t="shared" si="56"/>
        <v>2025-11-21</v>
      </c>
      <c r="D574" t="str">
        <f t="shared" si="57"/>
        <v>Avg -1.80%</v>
      </c>
      <c r="E574" t="str">
        <f t="shared" si="58"/>
        <v>S&amp;P500 -1.56%</v>
      </c>
      <c r="F574">
        <f t="shared" si="59"/>
        <v>0</v>
      </c>
      <c r="G574" t="str">
        <f t="shared" si="60"/>
        <v>2025-11-22 - Saturday</v>
      </c>
      <c r="H574" t="str">
        <f t="shared" si="61"/>
        <v>Recs:</v>
      </c>
    </row>
    <row r="575" spans="1:8" x14ac:dyDescent="0.35">
      <c r="A575" t="s">
        <v>32</v>
      </c>
      <c r="B575" s="1" t="b">
        <f t="shared" si="55"/>
        <v>0</v>
      </c>
      <c r="C575" s="1" t="str">
        <f t="shared" si="56"/>
        <v>2025-11-21</v>
      </c>
      <c r="D575" t="str">
        <f t="shared" si="57"/>
        <v>S&amp;P500 -1.56%</v>
      </c>
      <c r="E575">
        <f t="shared" si="58"/>
        <v>0</v>
      </c>
      <c r="F575" t="str">
        <f t="shared" si="59"/>
        <v>2025-11-22 - Saturday</v>
      </c>
      <c r="G575" t="str">
        <f t="shared" si="60"/>
        <v>Recs:</v>
      </c>
      <c r="H575" t="str">
        <f t="shared" si="61"/>
        <v>AAPL – Apple Inc.</v>
      </c>
    </row>
    <row r="576" spans="1:8" x14ac:dyDescent="0.35">
      <c r="A576" t="s">
        <v>33</v>
      </c>
      <c r="B576" s="1" t="b">
        <f t="shared" si="55"/>
        <v>0</v>
      </c>
      <c r="C576" s="1" t="str">
        <f t="shared" si="56"/>
        <v>2025-11-21</v>
      </c>
      <c r="D576">
        <f t="shared" si="57"/>
        <v>0</v>
      </c>
      <c r="E576" t="str">
        <f t="shared" si="58"/>
        <v>2025-11-22 - Saturday</v>
      </c>
      <c r="F576" t="str">
        <f t="shared" si="59"/>
        <v>Recs:</v>
      </c>
      <c r="G576" t="str">
        <f t="shared" si="60"/>
        <v>AAPL – Apple Inc.</v>
      </c>
      <c r="H576" t="str">
        <f t="shared" si="61"/>
        <v>SAP – SAP SE</v>
      </c>
    </row>
    <row r="577" spans="1:8" x14ac:dyDescent="0.35">
      <c r="A577" t="s">
        <v>34</v>
      </c>
      <c r="B577" s="1" t="b">
        <f t="shared" si="55"/>
        <v>0</v>
      </c>
      <c r="C577" s="1" t="str">
        <f t="shared" si="56"/>
        <v>2025-11-21</v>
      </c>
      <c r="D577" t="str">
        <f t="shared" si="57"/>
        <v>2025-11-22 - Saturday</v>
      </c>
      <c r="E577" t="str">
        <f t="shared" si="58"/>
        <v>Recs:</v>
      </c>
      <c r="F577" t="str">
        <f t="shared" si="59"/>
        <v>AAPL – Apple Inc.</v>
      </c>
      <c r="G577" t="str">
        <f t="shared" si="60"/>
        <v>SAP – SAP SE</v>
      </c>
      <c r="H577" t="str">
        <f t="shared" si="61"/>
        <v>SAND.ST – Sandvik AB</v>
      </c>
    </row>
    <row r="578" spans="1:8" x14ac:dyDescent="0.35">
      <c r="B578" s="1" t="b">
        <f t="shared" si="55"/>
        <v>0</v>
      </c>
      <c r="C578" s="1" t="str">
        <f t="shared" si="56"/>
        <v>2025-11-21</v>
      </c>
      <c r="D578" t="str">
        <f t="shared" si="57"/>
        <v>Recs:</v>
      </c>
      <c r="E578" t="str">
        <f t="shared" si="58"/>
        <v>AAPL – Apple Inc.</v>
      </c>
      <c r="F578" t="str">
        <f t="shared" si="59"/>
        <v>SAP – SAP SE</v>
      </c>
      <c r="G578" t="str">
        <f t="shared" si="60"/>
        <v>SAND.ST – Sandvik AB</v>
      </c>
      <c r="H578" t="str">
        <f t="shared" si="61"/>
        <v>ORSTED.CO – Ørsted A/S</v>
      </c>
    </row>
    <row r="579" spans="1:8" x14ac:dyDescent="0.35">
      <c r="A579" s="2" t="s">
        <v>35</v>
      </c>
      <c r="B579" s="1" t="b">
        <f t="shared" si="55"/>
        <v>1</v>
      </c>
      <c r="C579" s="1" t="str">
        <f t="shared" si="56"/>
        <v>2025-11-22</v>
      </c>
      <c r="D579" t="str">
        <f t="shared" si="57"/>
        <v>AAPL – Apple Inc.</v>
      </c>
      <c r="E579" t="str">
        <f t="shared" si="58"/>
        <v>SAP – SAP SE</v>
      </c>
      <c r="F579" t="str">
        <f t="shared" si="59"/>
        <v>SAND.ST – Sandvik AB</v>
      </c>
      <c r="G579" t="str">
        <f t="shared" si="60"/>
        <v>ORSTED.CO – Ørsted A/S</v>
      </c>
      <c r="H579" t="str">
        <f t="shared" si="61"/>
        <v>TSLA – Tesla Inc.</v>
      </c>
    </row>
    <row r="580" spans="1:8" x14ac:dyDescent="0.35">
      <c r="A580" t="s">
        <v>1</v>
      </c>
      <c r="B580" s="1" t="b">
        <f t="shared" si="55"/>
        <v>0</v>
      </c>
      <c r="C580" s="1" t="str">
        <f t="shared" si="56"/>
        <v>2025-11-22</v>
      </c>
      <c r="D580" t="str">
        <f t="shared" si="57"/>
        <v>SAP – SAP SE</v>
      </c>
      <c r="E580" t="str">
        <f t="shared" si="58"/>
        <v>SAND.ST – Sandvik AB</v>
      </c>
      <c r="F580" t="str">
        <f t="shared" si="59"/>
        <v>ORSTED.CO – Ørsted A/S</v>
      </c>
      <c r="G580" t="str">
        <f t="shared" si="60"/>
        <v>TSLA – Tesla Inc.</v>
      </c>
      <c r="H580" t="str">
        <f t="shared" si="61"/>
        <v>Perf (prev recs):</v>
      </c>
    </row>
    <row r="581" spans="1:8" x14ac:dyDescent="0.35">
      <c r="A581" t="s">
        <v>36</v>
      </c>
      <c r="B581" s="1" t="b">
        <f t="shared" si="55"/>
        <v>0</v>
      </c>
      <c r="C581" s="1" t="str">
        <f t="shared" si="56"/>
        <v>2025-11-22</v>
      </c>
      <c r="D581" t="str">
        <f t="shared" si="57"/>
        <v>SAND.ST – Sandvik AB</v>
      </c>
      <c r="E581" t="str">
        <f t="shared" si="58"/>
        <v>ORSTED.CO – Ørsted A/S</v>
      </c>
      <c r="F581" t="str">
        <f t="shared" si="59"/>
        <v>TSLA – Tesla Inc.</v>
      </c>
      <c r="G581" t="str">
        <f t="shared" si="60"/>
        <v>Perf (prev recs):</v>
      </c>
      <c r="H581" t="str">
        <f t="shared" si="61"/>
        <v>NVDA +2.85%</v>
      </c>
    </row>
    <row r="582" spans="1:8" x14ac:dyDescent="0.35">
      <c r="A582" t="s">
        <v>37</v>
      </c>
      <c r="B582" s="1" t="b">
        <f t="shared" si="55"/>
        <v>0</v>
      </c>
      <c r="C582" s="1" t="str">
        <f t="shared" si="56"/>
        <v>2025-11-22</v>
      </c>
      <c r="D582" t="str">
        <f t="shared" si="57"/>
        <v>ORSTED.CO – Ørsted A/S</v>
      </c>
      <c r="E582" t="str">
        <f t="shared" si="58"/>
        <v>TSLA – Tesla Inc.</v>
      </c>
      <c r="F582" t="str">
        <f t="shared" si="59"/>
        <v>Perf (prev recs):</v>
      </c>
      <c r="G582" t="str">
        <f t="shared" si="60"/>
        <v>NVDA +2.85%</v>
      </c>
      <c r="H582" t="str">
        <f t="shared" si="61"/>
        <v>ERIC -1.89%</v>
      </c>
    </row>
    <row r="583" spans="1:8" x14ac:dyDescent="0.35">
      <c r="A583" t="s">
        <v>38</v>
      </c>
      <c r="B583" s="1" t="b">
        <f t="shared" si="55"/>
        <v>0</v>
      </c>
      <c r="C583" s="1" t="str">
        <f t="shared" si="56"/>
        <v>2025-11-22</v>
      </c>
      <c r="D583" t="str">
        <f t="shared" si="57"/>
        <v>TSLA – Tesla Inc.</v>
      </c>
      <c r="E583" t="str">
        <f t="shared" si="58"/>
        <v>Perf (prev recs):</v>
      </c>
      <c r="F583" t="str">
        <f t="shared" si="59"/>
        <v>NVDA +2.85%</v>
      </c>
      <c r="G583" t="str">
        <f t="shared" si="60"/>
        <v>ERIC -1.89%</v>
      </c>
      <c r="H583" t="str">
        <f t="shared" si="61"/>
        <v>WMT +1.12%</v>
      </c>
    </row>
    <row r="584" spans="1:8" x14ac:dyDescent="0.35">
      <c r="A584" t="s">
        <v>39</v>
      </c>
      <c r="B584" s="1" t="b">
        <f t="shared" si="55"/>
        <v>0</v>
      </c>
      <c r="C584" s="1" t="str">
        <f t="shared" si="56"/>
        <v>2025-11-22</v>
      </c>
      <c r="D584" t="str">
        <f t="shared" si="57"/>
        <v>Perf (prev recs):</v>
      </c>
      <c r="E584" t="str">
        <f t="shared" si="58"/>
        <v>NVDA +2.85%</v>
      </c>
      <c r="F584" t="str">
        <f t="shared" si="59"/>
        <v>ERIC -1.89%</v>
      </c>
      <c r="G584" t="str">
        <f t="shared" si="60"/>
        <v>WMT +1.12%</v>
      </c>
      <c r="H584" t="str">
        <f t="shared" si="61"/>
        <v>TEL +0.34%</v>
      </c>
    </row>
    <row r="585" spans="1:8" x14ac:dyDescent="0.35">
      <c r="A585" t="s">
        <v>40</v>
      </c>
      <c r="B585" s="1" t="b">
        <f t="shared" si="55"/>
        <v>0</v>
      </c>
      <c r="C585" s="1" t="str">
        <f t="shared" si="56"/>
        <v>2025-11-22</v>
      </c>
      <c r="D585" t="str">
        <f t="shared" si="57"/>
        <v>NVDA +2.85%</v>
      </c>
      <c r="E585" t="str">
        <f t="shared" si="58"/>
        <v>ERIC -1.89%</v>
      </c>
      <c r="F585" t="str">
        <f t="shared" si="59"/>
        <v>WMT +1.12%</v>
      </c>
      <c r="G585" t="str">
        <f t="shared" si="60"/>
        <v>TEL +0.34%</v>
      </c>
      <c r="H585" t="str">
        <f t="shared" si="61"/>
        <v>TAK +0.47%</v>
      </c>
    </row>
    <row r="586" spans="1:8" x14ac:dyDescent="0.35">
      <c r="A586" t="s">
        <v>7</v>
      </c>
      <c r="B586" s="1" t="b">
        <f t="shared" si="55"/>
        <v>0</v>
      </c>
      <c r="C586" s="1" t="str">
        <f t="shared" si="56"/>
        <v>2025-11-22</v>
      </c>
      <c r="D586" t="str">
        <f t="shared" si="57"/>
        <v>ERIC -1.89%</v>
      </c>
      <c r="E586" t="str">
        <f t="shared" si="58"/>
        <v>WMT +1.12%</v>
      </c>
      <c r="F586" t="str">
        <f t="shared" si="59"/>
        <v>TEL +0.34%</v>
      </c>
      <c r="G586" t="str">
        <f t="shared" si="60"/>
        <v>TAK +0.47%</v>
      </c>
      <c r="H586" t="str">
        <f t="shared" si="61"/>
        <v>Avg +0.58%</v>
      </c>
    </row>
    <row r="587" spans="1:8" x14ac:dyDescent="0.35">
      <c r="A587" t="s">
        <v>41</v>
      </c>
      <c r="B587" s="1" t="b">
        <f t="shared" si="55"/>
        <v>0</v>
      </c>
      <c r="C587" s="1" t="str">
        <f t="shared" si="56"/>
        <v>2025-11-22</v>
      </c>
      <c r="D587" t="str">
        <f t="shared" si="57"/>
        <v>WMT +1.12%</v>
      </c>
      <c r="E587" t="str">
        <f t="shared" si="58"/>
        <v>TEL +0.34%</v>
      </c>
      <c r="F587" t="str">
        <f t="shared" si="59"/>
        <v>TAK +0.47%</v>
      </c>
      <c r="G587" t="str">
        <f t="shared" si="60"/>
        <v>Avg +0.58%</v>
      </c>
      <c r="H587" t="str">
        <f t="shared" si="61"/>
        <v>S&amp;P500 +0.38%</v>
      </c>
    </row>
    <row r="588" spans="1:8" x14ac:dyDescent="0.35">
      <c r="A588" t="s">
        <v>42</v>
      </c>
      <c r="B588" s="1" t="b">
        <f t="shared" si="55"/>
        <v>0</v>
      </c>
      <c r="C588" s="1" t="str">
        <f t="shared" si="56"/>
        <v>2025-11-22</v>
      </c>
      <c r="D588" t="str">
        <f t="shared" si="57"/>
        <v>TEL +0.34%</v>
      </c>
      <c r="E588" t="str">
        <f t="shared" si="58"/>
        <v>TAK +0.47%</v>
      </c>
      <c r="F588" t="str">
        <f t="shared" si="59"/>
        <v>Avg +0.58%</v>
      </c>
      <c r="G588" t="str">
        <f t="shared" si="60"/>
        <v>S&amp;P500 +0.38%</v>
      </c>
      <c r="H588">
        <f t="shared" si="61"/>
        <v>0</v>
      </c>
    </row>
    <row r="589" spans="1:8" x14ac:dyDescent="0.35">
      <c r="A589" t="s">
        <v>43</v>
      </c>
      <c r="B589" s="1" t="b">
        <f t="shared" si="55"/>
        <v>0</v>
      </c>
      <c r="C589" s="1" t="str">
        <f t="shared" si="56"/>
        <v>2025-11-22</v>
      </c>
      <c r="D589" t="str">
        <f t="shared" si="57"/>
        <v>TAK +0.47%</v>
      </c>
      <c r="E589" t="str">
        <f t="shared" si="58"/>
        <v>Avg +0.58%</v>
      </c>
      <c r="F589" t="str">
        <f t="shared" si="59"/>
        <v>S&amp;P500 +0.38%</v>
      </c>
      <c r="G589">
        <f t="shared" si="60"/>
        <v>0</v>
      </c>
      <c r="H589" t="str">
        <f t="shared" si="61"/>
        <v>2025-11-23 - Sunday</v>
      </c>
    </row>
    <row r="590" spans="1:8" x14ac:dyDescent="0.35">
      <c r="A590" t="s">
        <v>44</v>
      </c>
      <c r="B590" s="1" t="b">
        <f t="shared" si="55"/>
        <v>0</v>
      </c>
      <c r="C590" s="1" t="str">
        <f t="shared" si="56"/>
        <v>2025-11-22</v>
      </c>
      <c r="D590" t="str">
        <f t="shared" si="57"/>
        <v>Avg +0.58%</v>
      </c>
      <c r="E590" t="str">
        <f t="shared" si="58"/>
        <v>S&amp;P500 +0.38%</v>
      </c>
      <c r="F590">
        <f t="shared" si="59"/>
        <v>0</v>
      </c>
      <c r="G590" t="str">
        <f t="shared" si="60"/>
        <v>2025-11-23 - Sunday</v>
      </c>
      <c r="H590" t="str">
        <f t="shared" si="61"/>
        <v>Recs:</v>
      </c>
    </row>
    <row r="591" spans="1:8" x14ac:dyDescent="0.35">
      <c r="A591" t="s">
        <v>45</v>
      </c>
      <c r="B591" s="1" t="b">
        <f t="shared" si="55"/>
        <v>0</v>
      </c>
      <c r="C591" s="1" t="str">
        <f t="shared" si="56"/>
        <v>2025-11-22</v>
      </c>
      <c r="D591" t="str">
        <f t="shared" si="57"/>
        <v>S&amp;P500 +0.38%</v>
      </c>
      <c r="E591">
        <f t="shared" si="58"/>
        <v>0</v>
      </c>
      <c r="F591" t="str">
        <f t="shared" si="59"/>
        <v>2025-11-23 - Sunday</v>
      </c>
      <c r="G591" t="str">
        <f t="shared" si="60"/>
        <v>Recs:</v>
      </c>
      <c r="H591" t="str">
        <f t="shared" si="61"/>
        <v>SAAB B – Saab AB</v>
      </c>
    </row>
    <row r="592" spans="1:8" x14ac:dyDescent="0.35">
      <c r="A592" t="s">
        <v>46</v>
      </c>
      <c r="B592" s="1" t="b">
        <f t="shared" si="55"/>
        <v>0</v>
      </c>
      <c r="C592" s="1" t="str">
        <f t="shared" si="56"/>
        <v>2025-11-22</v>
      </c>
      <c r="D592">
        <f t="shared" si="57"/>
        <v>0</v>
      </c>
      <c r="E592" t="str">
        <f t="shared" si="58"/>
        <v>2025-11-23 - Sunday</v>
      </c>
      <c r="F592" t="str">
        <f t="shared" si="59"/>
        <v>Recs:</v>
      </c>
      <c r="G592" t="str">
        <f t="shared" si="60"/>
        <v>SAAB B – Saab AB</v>
      </c>
      <c r="H592" t="str">
        <f t="shared" si="61"/>
        <v>WBD – Warner Bros. Discovery, Inc.</v>
      </c>
    </row>
    <row r="593" spans="1:8" x14ac:dyDescent="0.35">
      <c r="A593" t="s">
        <v>47</v>
      </c>
      <c r="B593" s="1" t="b">
        <f t="shared" si="55"/>
        <v>0</v>
      </c>
      <c r="C593" s="1" t="str">
        <f t="shared" si="56"/>
        <v>2025-11-22</v>
      </c>
      <c r="D593" t="str">
        <f t="shared" si="57"/>
        <v>2025-11-23 - Sunday</v>
      </c>
      <c r="E593" t="str">
        <f t="shared" si="58"/>
        <v>Recs:</v>
      </c>
      <c r="F593" t="str">
        <f t="shared" si="59"/>
        <v>SAAB B – Saab AB</v>
      </c>
      <c r="G593" t="str">
        <f t="shared" si="60"/>
        <v>WBD – Warner Bros. Discovery, Inc.</v>
      </c>
      <c r="H593" t="str">
        <f t="shared" si="61"/>
        <v>COST – Costco Wholesale Corporation</v>
      </c>
    </row>
    <row r="594" spans="1:8" x14ac:dyDescent="0.35">
      <c r="B594" s="1" t="b">
        <f t="shared" si="55"/>
        <v>0</v>
      </c>
      <c r="C594" s="1" t="str">
        <f t="shared" si="56"/>
        <v>2025-11-22</v>
      </c>
      <c r="D594" t="str">
        <f t="shared" si="57"/>
        <v>Recs:</v>
      </c>
      <c r="E594" t="str">
        <f t="shared" si="58"/>
        <v>SAAB B – Saab AB</v>
      </c>
      <c r="F594" t="str">
        <f t="shared" si="59"/>
        <v>WBD – Warner Bros. Discovery, Inc.</v>
      </c>
      <c r="G594" t="str">
        <f t="shared" si="60"/>
        <v>COST – Costco Wholesale Corporation</v>
      </c>
      <c r="H594" t="str">
        <f t="shared" si="61"/>
        <v>LRCX – Lam Research Corporation</v>
      </c>
    </row>
    <row r="595" spans="1:8" x14ac:dyDescent="0.35">
      <c r="A595" s="2" t="s">
        <v>48</v>
      </c>
      <c r="B595" s="1" t="b">
        <f t="shared" ref="B595:B658" si="62">ISNUMBER(LEFT(A595,4)+1-1)</f>
        <v>1</v>
      </c>
      <c r="C595" s="1" t="str">
        <f t="shared" ref="C595:C658" si="63">IF(B595,LEFT(A595,10),C594)</f>
        <v>2025-11-23</v>
      </c>
      <c r="D595" t="str">
        <f t="shared" ref="D595:D652" si="64">A597</f>
        <v>SAAB B – Saab AB</v>
      </c>
      <c r="E595" t="str">
        <f t="shared" ref="E595:E652" si="65">A598</f>
        <v>WBD – Warner Bros. Discovery, Inc.</v>
      </c>
      <c r="F595" t="str">
        <f t="shared" ref="F595:F652" si="66">A599</f>
        <v>COST – Costco Wholesale Corporation</v>
      </c>
      <c r="G595" t="str">
        <f t="shared" ref="G595:G652" si="67">A600</f>
        <v>LRCX – Lam Research Corporation</v>
      </c>
      <c r="H595" t="str">
        <f t="shared" ref="H595:H652" si="68">A601</f>
        <v>ASML – ASML Holding N.V.</v>
      </c>
    </row>
    <row r="596" spans="1:8" x14ac:dyDescent="0.35">
      <c r="A596" t="s">
        <v>1</v>
      </c>
      <c r="B596" s="1" t="b">
        <f t="shared" si="62"/>
        <v>0</v>
      </c>
      <c r="C596" s="1" t="str">
        <f t="shared" si="63"/>
        <v>2025-11-23</v>
      </c>
      <c r="D596" t="str">
        <f t="shared" si="64"/>
        <v>WBD – Warner Bros. Discovery, Inc.</v>
      </c>
      <c r="E596" t="str">
        <f t="shared" si="65"/>
        <v>COST – Costco Wholesale Corporation</v>
      </c>
      <c r="F596" t="str">
        <f t="shared" si="66"/>
        <v>LRCX – Lam Research Corporation</v>
      </c>
      <c r="G596" t="str">
        <f t="shared" si="67"/>
        <v>ASML – ASML Holding N.V.</v>
      </c>
      <c r="H596" t="str">
        <f t="shared" si="68"/>
        <v>Perf (prev recs):</v>
      </c>
    </row>
    <row r="597" spans="1:8" x14ac:dyDescent="0.35">
      <c r="A597" t="s">
        <v>49</v>
      </c>
      <c r="B597" s="1" t="b">
        <f t="shared" si="62"/>
        <v>0</v>
      </c>
      <c r="C597" s="1" t="str">
        <f t="shared" si="63"/>
        <v>2025-11-23</v>
      </c>
      <c r="D597" t="str">
        <f t="shared" si="64"/>
        <v>COST – Costco Wholesale Corporation</v>
      </c>
      <c r="E597" t="str">
        <f t="shared" si="65"/>
        <v>LRCX – Lam Research Corporation</v>
      </c>
      <c r="F597" t="str">
        <f t="shared" si="66"/>
        <v>ASML – ASML Holding N.V.</v>
      </c>
      <c r="G597" t="str">
        <f t="shared" si="67"/>
        <v>Perf (prev recs):</v>
      </c>
      <c r="H597" t="str">
        <f t="shared" si="68"/>
        <v>NVDA +N/A%</v>
      </c>
    </row>
    <row r="598" spans="1:8" x14ac:dyDescent="0.35">
      <c r="A598" t="s">
        <v>50</v>
      </c>
      <c r="B598" s="1" t="b">
        <f t="shared" si="62"/>
        <v>0</v>
      </c>
      <c r="C598" s="1" t="str">
        <f t="shared" si="63"/>
        <v>2025-11-23</v>
      </c>
      <c r="D598" t="str">
        <f t="shared" si="64"/>
        <v>LRCX – Lam Research Corporation</v>
      </c>
      <c r="E598" t="str">
        <f t="shared" si="65"/>
        <v>ASML – ASML Holding N.V.</v>
      </c>
      <c r="F598" t="str">
        <f t="shared" si="66"/>
        <v>Perf (prev recs):</v>
      </c>
      <c r="G598" t="str">
        <f t="shared" si="67"/>
        <v>NVDA +N/A%</v>
      </c>
      <c r="H598" t="str">
        <f t="shared" si="68"/>
        <v>ERIC +N/A%</v>
      </c>
    </row>
    <row r="599" spans="1:8" x14ac:dyDescent="0.35">
      <c r="A599" t="s">
        <v>51</v>
      </c>
      <c r="B599" s="1" t="b">
        <f t="shared" si="62"/>
        <v>0</v>
      </c>
      <c r="C599" s="1" t="str">
        <f t="shared" si="63"/>
        <v>2025-11-23</v>
      </c>
      <c r="D599" t="str">
        <f t="shared" si="64"/>
        <v>ASML – ASML Holding N.V.</v>
      </c>
      <c r="E599" t="str">
        <f t="shared" si="65"/>
        <v>Perf (prev recs):</v>
      </c>
      <c r="F599" t="str">
        <f t="shared" si="66"/>
        <v>NVDA +N/A%</v>
      </c>
      <c r="G599" t="str">
        <f t="shared" si="67"/>
        <v>ERIC +N/A%</v>
      </c>
      <c r="H599" t="str">
        <f t="shared" si="68"/>
        <v>WMT +N/A%</v>
      </c>
    </row>
    <row r="600" spans="1:8" x14ac:dyDescent="0.35">
      <c r="A600" t="s">
        <v>52</v>
      </c>
      <c r="B600" s="1" t="b">
        <f t="shared" si="62"/>
        <v>0</v>
      </c>
      <c r="C600" s="1" t="str">
        <f t="shared" si="63"/>
        <v>2025-11-23</v>
      </c>
      <c r="D600" t="str">
        <f t="shared" si="64"/>
        <v>Perf (prev recs):</v>
      </c>
      <c r="E600" t="str">
        <f t="shared" si="65"/>
        <v>NVDA +N/A%</v>
      </c>
      <c r="F600" t="str">
        <f t="shared" si="66"/>
        <v>ERIC +N/A%</v>
      </c>
      <c r="G600" t="str">
        <f t="shared" si="67"/>
        <v>WMT +N/A%</v>
      </c>
      <c r="H600" t="str">
        <f t="shared" si="68"/>
        <v>TEL +N/A%</v>
      </c>
    </row>
    <row r="601" spans="1:8" x14ac:dyDescent="0.35">
      <c r="A601" t="s">
        <v>53</v>
      </c>
      <c r="B601" s="1" t="b">
        <f t="shared" si="62"/>
        <v>0</v>
      </c>
      <c r="C601" s="1" t="str">
        <f t="shared" si="63"/>
        <v>2025-11-23</v>
      </c>
      <c r="D601" t="str">
        <f t="shared" si="64"/>
        <v>NVDA +N/A%</v>
      </c>
      <c r="E601" t="str">
        <f t="shared" si="65"/>
        <v>ERIC +N/A%</v>
      </c>
      <c r="F601" t="str">
        <f t="shared" si="66"/>
        <v>WMT +N/A%</v>
      </c>
      <c r="G601" t="str">
        <f t="shared" si="67"/>
        <v>TEL +N/A%</v>
      </c>
      <c r="H601" t="str">
        <f t="shared" si="68"/>
        <v>TAK +N/A%</v>
      </c>
    </row>
    <row r="602" spans="1:8" x14ac:dyDescent="0.35">
      <c r="A602" t="s">
        <v>7</v>
      </c>
      <c r="B602" s="1" t="b">
        <f t="shared" si="62"/>
        <v>0</v>
      </c>
      <c r="C602" s="1" t="str">
        <f t="shared" si="63"/>
        <v>2025-11-23</v>
      </c>
      <c r="D602" t="str">
        <f t="shared" si="64"/>
        <v>ERIC +N/A%</v>
      </c>
      <c r="E602" t="str">
        <f t="shared" si="65"/>
        <v>WMT +N/A%</v>
      </c>
      <c r="F602" t="str">
        <f t="shared" si="66"/>
        <v>TEL +N/A%</v>
      </c>
      <c r="G602" t="str">
        <f t="shared" si="67"/>
        <v>TAK +N/A%</v>
      </c>
      <c r="H602" t="str">
        <f t="shared" si="68"/>
        <v>Avg +N/A%</v>
      </c>
    </row>
    <row r="603" spans="1:8" x14ac:dyDescent="0.35">
      <c r="A603" t="s">
        <v>54</v>
      </c>
      <c r="B603" s="1" t="b">
        <f t="shared" si="62"/>
        <v>0</v>
      </c>
      <c r="C603" s="1" t="str">
        <f t="shared" si="63"/>
        <v>2025-11-23</v>
      </c>
      <c r="D603" t="str">
        <f t="shared" si="64"/>
        <v>WMT +N/A%</v>
      </c>
      <c r="E603" t="str">
        <f t="shared" si="65"/>
        <v>TEL +N/A%</v>
      </c>
      <c r="F603" t="str">
        <f t="shared" si="66"/>
        <v>TAK +N/A%</v>
      </c>
      <c r="G603" t="str">
        <f t="shared" si="67"/>
        <v>Avg +N/A%</v>
      </c>
      <c r="H603" t="str">
        <f t="shared" si="68"/>
        <v>S&amp;P500 +N/A%</v>
      </c>
    </row>
    <row r="604" spans="1:8" x14ac:dyDescent="0.35">
      <c r="A604" t="s">
        <v>55</v>
      </c>
      <c r="B604" s="1" t="b">
        <f t="shared" si="62"/>
        <v>0</v>
      </c>
      <c r="C604" s="1" t="str">
        <f t="shared" si="63"/>
        <v>2025-11-23</v>
      </c>
      <c r="D604" t="str">
        <f t="shared" si="64"/>
        <v>TEL +N/A%</v>
      </c>
      <c r="E604" t="str">
        <f t="shared" si="65"/>
        <v>TAK +N/A%</v>
      </c>
      <c r="F604" t="str">
        <f t="shared" si="66"/>
        <v>Avg +N/A%</v>
      </c>
      <c r="G604" t="str">
        <f t="shared" si="67"/>
        <v>S&amp;P500 +N/A%</v>
      </c>
      <c r="H604">
        <f t="shared" si="68"/>
        <v>0</v>
      </c>
    </row>
    <row r="605" spans="1:8" x14ac:dyDescent="0.35">
      <c r="A605" t="s">
        <v>56</v>
      </c>
      <c r="B605" s="1" t="b">
        <f t="shared" si="62"/>
        <v>0</v>
      </c>
      <c r="C605" s="1" t="str">
        <f t="shared" si="63"/>
        <v>2025-11-23</v>
      </c>
      <c r="D605" t="str">
        <f t="shared" si="64"/>
        <v>TAK +N/A%</v>
      </c>
      <c r="E605" t="str">
        <f t="shared" si="65"/>
        <v>Avg +N/A%</v>
      </c>
      <c r="F605" t="str">
        <f t="shared" si="66"/>
        <v>S&amp;P500 +N/A%</v>
      </c>
      <c r="G605">
        <f t="shared" si="67"/>
        <v>0</v>
      </c>
      <c r="H605" t="str">
        <f t="shared" si="68"/>
        <v>2025-11-24 - Monday</v>
      </c>
    </row>
    <row r="606" spans="1:8" x14ac:dyDescent="0.35">
      <c r="A606" t="s">
        <v>57</v>
      </c>
      <c r="B606" s="1" t="b">
        <f t="shared" si="62"/>
        <v>0</v>
      </c>
      <c r="C606" s="1" t="str">
        <f t="shared" si="63"/>
        <v>2025-11-23</v>
      </c>
      <c r="D606" t="str">
        <f t="shared" si="64"/>
        <v>Avg +N/A%</v>
      </c>
      <c r="E606" t="str">
        <f t="shared" si="65"/>
        <v>S&amp;P500 +N/A%</v>
      </c>
      <c r="F606">
        <f t="shared" si="66"/>
        <v>0</v>
      </c>
      <c r="G606" t="str">
        <f t="shared" si="67"/>
        <v>2025-11-24 - Monday</v>
      </c>
      <c r="H606" t="str">
        <f t="shared" si="68"/>
        <v>Recs:</v>
      </c>
    </row>
    <row r="607" spans="1:8" x14ac:dyDescent="0.35">
      <c r="A607" t="s">
        <v>58</v>
      </c>
      <c r="B607" s="1" t="b">
        <f t="shared" si="62"/>
        <v>0</v>
      </c>
      <c r="C607" s="1" t="str">
        <f t="shared" si="63"/>
        <v>2025-11-23</v>
      </c>
      <c r="D607" t="str">
        <f t="shared" si="64"/>
        <v>S&amp;P500 +N/A%</v>
      </c>
      <c r="E607">
        <f t="shared" si="65"/>
        <v>0</v>
      </c>
      <c r="F607" t="str">
        <f t="shared" si="66"/>
        <v>2025-11-24 - Monday</v>
      </c>
      <c r="G607" t="str">
        <f t="shared" si="67"/>
        <v>Recs:</v>
      </c>
      <c r="H607" t="str">
        <f t="shared" si="68"/>
        <v>WBD – Warner Bros. Discovery, Inc. (media)</v>
      </c>
    </row>
    <row r="608" spans="1:8" x14ac:dyDescent="0.35">
      <c r="A608" t="s">
        <v>59</v>
      </c>
      <c r="B608" s="1" t="b">
        <f t="shared" si="62"/>
        <v>0</v>
      </c>
      <c r="C608" s="1" t="str">
        <f t="shared" si="63"/>
        <v>2025-11-23</v>
      </c>
      <c r="D608">
        <f t="shared" si="64"/>
        <v>0</v>
      </c>
      <c r="E608" t="str">
        <f t="shared" si="65"/>
        <v>2025-11-24 - Monday</v>
      </c>
      <c r="F608" t="str">
        <f t="shared" si="66"/>
        <v>Recs:</v>
      </c>
      <c r="G608" t="str">
        <f t="shared" si="67"/>
        <v>WBD – Warner Bros. Discovery, Inc. (media)</v>
      </c>
      <c r="H608" t="str">
        <f t="shared" si="68"/>
        <v>COST – Costco Wholesale Corporation (consumer retail)</v>
      </c>
    </row>
    <row r="609" spans="1:8" x14ac:dyDescent="0.35">
      <c r="A609" t="s">
        <v>60</v>
      </c>
      <c r="B609" s="1" t="b">
        <f t="shared" si="62"/>
        <v>0</v>
      </c>
      <c r="C609" s="1" t="str">
        <f t="shared" si="63"/>
        <v>2025-11-23</v>
      </c>
      <c r="D609" t="str">
        <f t="shared" si="64"/>
        <v>2025-11-24 - Monday</v>
      </c>
      <c r="E609" t="str">
        <f t="shared" si="65"/>
        <v>Recs:</v>
      </c>
      <c r="F609" t="str">
        <f t="shared" si="66"/>
        <v>WBD – Warner Bros. Discovery, Inc. (media)</v>
      </c>
      <c r="G609" t="str">
        <f t="shared" si="67"/>
        <v>COST – Costco Wholesale Corporation (consumer retail)</v>
      </c>
      <c r="H609" t="str">
        <f t="shared" si="68"/>
        <v>LRCX – Lam Research Corporation (semiconductor equipment)</v>
      </c>
    </row>
    <row r="610" spans="1:8" x14ac:dyDescent="0.35">
      <c r="B610" s="1" t="b">
        <f t="shared" si="62"/>
        <v>0</v>
      </c>
      <c r="C610" s="1" t="str">
        <f t="shared" si="63"/>
        <v>2025-11-23</v>
      </c>
      <c r="D610" t="str">
        <f t="shared" si="64"/>
        <v>Recs:</v>
      </c>
      <c r="E610" t="str">
        <f t="shared" si="65"/>
        <v>WBD – Warner Bros. Discovery, Inc. (media)</v>
      </c>
      <c r="F610" t="str">
        <f t="shared" si="66"/>
        <v>COST – Costco Wholesale Corporation (consumer retail)</v>
      </c>
      <c r="G610" t="str">
        <f t="shared" si="67"/>
        <v>LRCX – Lam Research Corporation (semiconductor equipment)</v>
      </c>
      <c r="H610" t="str">
        <f t="shared" si="68"/>
        <v>ASML – ASML Holding N.V. (chip lithography)</v>
      </c>
    </row>
    <row r="611" spans="1:8" x14ac:dyDescent="0.35">
      <c r="A611" s="2" t="s">
        <v>61</v>
      </c>
      <c r="B611" s="1" t="b">
        <f t="shared" si="62"/>
        <v>1</v>
      </c>
      <c r="C611" s="1" t="str">
        <f t="shared" si="63"/>
        <v>2025-11-24</v>
      </c>
      <c r="D611" t="str">
        <f t="shared" si="64"/>
        <v>WBD – Warner Bros. Discovery, Inc. (media)</v>
      </c>
      <c r="E611" t="str">
        <f t="shared" si="65"/>
        <v>COST – Costco Wholesale Corporation (consumer retail)</v>
      </c>
      <c r="F611" t="str">
        <f t="shared" si="66"/>
        <v>LRCX – Lam Research Corporation (semiconductor equipment)</v>
      </c>
      <c r="G611" t="str">
        <f t="shared" si="67"/>
        <v>ASML – ASML Holding N.V. (chip lithography)</v>
      </c>
      <c r="H611" t="str">
        <f t="shared" si="68"/>
        <v>ALLIGO B – Alligo AB (publ) (Sweden trade distribution)</v>
      </c>
    </row>
    <row r="612" spans="1:8" x14ac:dyDescent="0.35">
      <c r="A612" t="s">
        <v>1</v>
      </c>
      <c r="B612" s="1" t="b">
        <f t="shared" si="62"/>
        <v>0</v>
      </c>
      <c r="C612" s="1" t="str">
        <f t="shared" si="63"/>
        <v>2025-11-24</v>
      </c>
      <c r="D612" t="str">
        <f t="shared" si="64"/>
        <v>COST – Costco Wholesale Corporation (consumer retail)</v>
      </c>
      <c r="E612" t="str">
        <f t="shared" si="65"/>
        <v>LRCX – Lam Research Corporation (semiconductor equipment)</v>
      </c>
      <c r="F612" t="str">
        <f t="shared" si="66"/>
        <v>ASML – ASML Holding N.V. (chip lithography)</v>
      </c>
      <c r="G612" t="str">
        <f t="shared" si="67"/>
        <v>ALLIGO B – Alligo AB (publ) (Sweden trade distribution)</v>
      </c>
      <c r="H612" t="str">
        <f t="shared" si="68"/>
        <v>Perf (prev recs):</v>
      </c>
    </row>
    <row r="613" spans="1:8" x14ac:dyDescent="0.35">
      <c r="A613" t="s">
        <v>62</v>
      </c>
      <c r="B613" s="1" t="b">
        <f t="shared" si="62"/>
        <v>0</v>
      </c>
      <c r="C613" s="1" t="str">
        <f t="shared" si="63"/>
        <v>2025-11-24</v>
      </c>
      <c r="D613" t="str">
        <f t="shared" si="64"/>
        <v>LRCX – Lam Research Corporation (semiconductor equipment)</v>
      </c>
      <c r="E613" t="str">
        <f t="shared" si="65"/>
        <v>ASML – ASML Holding N.V. (chip lithography)</v>
      </c>
      <c r="F613" t="str">
        <f t="shared" si="66"/>
        <v>ALLIGO B – Alligo AB (publ) (Sweden trade distribution)</v>
      </c>
      <c r="G613" t="str">
        <f t="shared" si="67"/>
        <v>Perf (prev recs):</v>
      </c>
      <c r="H613" t="str">
        <f t="shared" si="68"/>
        <v>NVDA +N/A%</v>
      </c>
    </row>
    <row r="614" spans="1:8" x14ac:dyDescent="0.35">
      <c r="A614" t="s">
        <v>63</v>
      </c>
      <c r="B614" s="1" t="b">
        <f t="shared" si="62"/>
        <v>0</v>
      </c>
      <c r="C614" s="1" t="str">
        <f t="shared" si="63"/>
        <v>2025-11-24</v>
      </c>
      <c r="D614" t="str">
        <f t="shared" si="64"/>
        <v>ASML – ASML Holding N.V. (chip lithography)</v>
      </c>
      <c r="E614" t="str">
        <f t="shared" si="65"/>
        <v>ALLIGO B – Alligo AB (publ) (Sweden trade distribution)</v>
      </c>
      <c r="F614" t="str">
        <f t="shared" si="66"/>
        <v>Perf (prev recs):</v>
      </c>
      <c r="G614" t="str">
        <f t="shared" si="67"/>
        <v>NVDA +N/A%</v>
      </c>
      <c r="H614" t="str">
        <f t="shared" si="68"/>
        <v>ERIC +N/A%</v>
      </c>
    </row>
    <row r="615" spans="1:8" x14ac:dyDescent="0.35">
      <c r="A615" t="s">
        <v>64</v>
      </c>
      <c r="B615" s="1" t="b">
        <f t="shared" si="62"/>
        <v>0</v>
      </c>
      <c r="C615" s="1" t="str">
        <f t="shared" si="63"/>
        <v>2025-11-24</v>
      </c>
      <c r="D615" t="str">
        <f t="shared" si="64"/>
        <v>ALLIGO B – Alligo AB (publ) (Sweden trade distribution)</v>
      </c>
      <c r="E615" t="str">
        <f t="shared" si="65"/>
        <v>Perf (prev recs):</v>
      </c>
      <c r="F615" t="str">
        <f t="shared" si="66"/>
        <v>NVDA +N/A%</v>
      </c>
      <c r="G615" t="str">
        <f t="shared" si="67"/>
        <v>ERIC +N/A%</v>
      </c>
      <c r="H615" t="str">
        <f t="shared" si="68"/>
        <v>WMT +N/A%</v>
      </c>
    </row>
    <row r="616" spans="1:8" x14ac:dyDescent="0.35">
      <c r="A616" t="s">
        <v>65</v>
      </c>
      <c r="B616" s="1" t="b">
        <f t="shared" si="62"/>
        <v>0</v>
      </c>
      <c r="C616" s="1" t="str">
        <f t="shared" si="63"/>
        <v>2025-11-24</v>
      </c>
      <c r="D616" t="str">
        <f t="shared" si="64"/>
        <v>Perf (prev recs):</v>
      </c>
      <c r="E616" t="str">
        <f t="shared" si="65"/>
        <v>NVDA +N/A%</v>
      </c>
      <c r="F616" t="str">
        <f t="shared" si="66"/>
        <v>ERIC +N/A%</v>
      </c>
      <c r="G616" t="str">
        <f t="shared" si="67"/>
        <v>WMT +N/A%</v>
      </c>
      <c r="H616" t="str">
        <f t="shared" si="68"/>
        <v>TEL +N/A%</v>
      </c>
    </row>
    <row r="617" spans="1:8" x14ac:dyDescent="0.35">
      <c r="A617" t="s">
        <v>66</v>
      </c>
      <c r="B617" s="1" t="b">
        <f t="shared" si="62"/>
        <v>0</v>
      </c>
      <c r="C617" s="1" t="str">
        <f t="shared" si="63"/>
        <v>2025-11-24</v>
      </c>
      <c r="D617" t="str">
        <f t="shared" si="64"/>
        <v>NVDA +N/A%</v>
      </c>
      <c r="E617" t="str">
        <f t="shared" si="65"/>
        <v>ERIC +N/A%</v>
      </c>
      <c r="F617" t="str">
        <f t="shared" si="66"/>
        <v>WMT +N/A%</v>
      </c>
      <c r="G617" t="str">
        <f t="shared" si="67"/>
        <v>TEL +N/A%</v>
      </c>
      <c r="H617" t="str">
        <f t="shared" si="68"/>
        <v>TAK +N/A%</v>
      </c>
    </row>
    <row r="618" spans="1:8" x14ac:dyDescent="0.35">
      <c r="A618" t="s">
        <v>7</v>
      </c>
      <c r="B618" s="1" t="b">
        <f t="shared" si="62"/>
        <v>0</v>
      </c>
      <c r="C618" s="1" t="str">
        <f t="shared" si="63"/>
        <v>2025-11-24</v>
      </c>
      <c r="D618" t="str">
        <f t="shared" si="64"/>
        <v>ERIC +N/A%</v>
      </c>
      <c r="E618" t="str">
        <f t="shared" si="65"/>
        <v>WMT +N/A%</v>
      </c>
      <c r="F618" t="str">
        <f t="shared" si="66"/>
        <v>TEL +N/A%</v>
      </c>
      <c r="G618" t="str">
        <f t="shared" si="67"/>
        <v>TAK +N/A%</v>
      </c>
      <c r="H618" t="str">
        <f t="shared" si="68"/>
        <v>Avg +N/A%</v>
      </c>
    </row>
    <row r="619" spans="1:8" x14ac:dyDescent="0.35">
      <c r="A619" t="s">
        <v>54</v>
      </c>
      <c r="B619" s="1" t="b">
        <f t="shared" si="62"/>
        <v>0</v>
      </c>
      <c r="C619" s="1" t="str">
        <f t="shared" si="63"/>
        <v>2025-11-24</v>
      </c>
      <c r="D619" t="str">
        <f t="shared" si="64"/>
        <v>WMT +N/A%</v>
      </c>
      <c r="E619" t="str">
        <f t="shared" si="65"/>
        <v>TEL +N/A%</v>
      </c>
      <c r="F619" t="str">
        <f t="shared" si="66"/>
        <v>TAK +N/A%</v>
      </c>
      <c r="G619" t="str">
        <f t="shared" si="67"/>
        <v>Avg +N/A%</v>
      </c>
      <c r="H619" t="str">
        <f t="shared" si="68"/>
        <v>S&amp;P500 +N/A%</v>
      </c>
    </row>
    <row r="620" spans="1:8" x14ac:dyDescent="0.35">
      <c r="A620" t="s">
        <v>55</v>
      </c>
      <c r="B620" s="1" t="b">
        <f t="shared" si="62"/>
        <v>0</v>
      </c>
      <c r="C620" s="1" t="str">
        <f t="shared" si="63"/>
        <v>2025-11-24</v>
      </c>
      <c r="D620" t="str">
        <f t="shared" si="64"/>
        <v>TEL +N/A%</v>
      </c>
      <c r="E620" t="str">
        <f t="shared" si="65"/>
        <v>TAK +N/A%</v>
      </c>
      <c r="F620" t="str">
        <f t="shared" si="66"/>
        <v>Avg +N/A%</v>
      </c>
      <c r="G620" t="str">
        <f t="shared" si="67"/>
        <v>S&amp;P500 +N/A%</v>
      </c>
      <c r="H620">
        <f t="shared" si="68"/>
        <v>0</v>
      </c>
    </row>
    <row r="621" spans="1:8" x14ac:dyDescent="0.35">
      <c r="A621" t="s">
        <v>56</v>
      </c>
      <c r="B621" s="1" t="b">
        <f t="shared" si="62"/>
        <v>0</v>
      </c>
      <c r="C621" s="1" t="str">
        <f t="shared" si="63"/>
        <v>2025-11-24</v>
      </c>
      <c r="D621" t="str">
        <f t="shared" si="64"/>
        <v>TAK +N/A%</v>
      </c>
      <c r="E621" t="str">
        <f t="shared" si="65"/>
        <v>Avg +N/A%</v>
      </c>
      <c r="F621" t="str">
        <f t="shared" si="66"/>
        <v>S&amp;P500 +N/A%</v>
      </c>
      <c r="G621">
        <f t="shared" si="67"/>
        <v>0</v>
      </c>
      <c r="H621" t="str">
        <f t="shared" si="68"/>
        <v>2025-11-25 - Tuesday</v>
      </c>
    </row>
    <row r="622" spans="1:8" x14ac:dyDescent="0.35">
      <c r="A622" t="s">
        <v>57</v>
      </c>
      <c r="B622" s="1" t="b">
        <f t="shared" si="62"/>
        <v>0</v>
      </c>
      <c r="C622" s="1" t="str">
        <f t="shared" si="63"/>
        <v>2025-11-24</v>
      </c>
      <c r="D622" t="str">
        <f t="shared" si="64"/>
        <v>Avg +N/A%</v>
      </c>
      <c r="E622" t="str">
        <f t="shared" si="65"/>
        <v>S&amp;P500 +N/A%</v>
      </c>
      <c r="F622">
        <f t="shared" si="66"/>
        <v>0</v>
      </c>
      <c r="G622" t="str">
        <f t="shared" si="67"/>
        <v>2025-11-25 - Tuesday</v>
      </c>
      <c r="H622" t="str">
        <f t="shared" si="68"/>
        <v>Recs:</v>
      </c>
    </row>
    <row r="623" spans="1:8" x14ac:dyDescent="0.35">
      <c r="A623" t="s">
        <v>58</v>
      </c>
      <c r="B623" s="1" t="b">
        <f t="shared" si="62"/>
        <v>0</v>
      </c>
      <c r="C623" s="1" t="str">
        <f t="shared" si="63"/>
        <v>2025-11-24</v>
      </c>
      <c r="D623" t="str">
        <f t="shared" si="64"/>
        <v>S&amp;P500 +N/A%</v>
      </c>
      <c r="E623">
        <f t="shared" si="65"/>
        <v>0</v>
      </c>
      <c r="F623" t="str">
        <f t="shared" si="66"/>
        <v>2025-11-25 - Tuesday</v>
      </c>
      <c r="G623" t="str">
        <f t="shared" si="67"/>
        <v>Recs:</v>
      </c>
      <c r="H623" t="str">
        <f t="shared" si="68"/>
        <v>ASML – ASML Holding N.V. (semiconductor equipment)</v>
      </c>
    </row>
    <row r="624" spans="1:8" x14ac:dyDescent="0.35">
      <c r="A624" t="s">
        <v>59</v>
      </c>
      <c r="B624" s="1" t="b">
        <f t="shared" si="62"/>
        <v>0</v>
      </c>
      <c r="C624" s="1" t="str">
        <f t="shared" si="63"/>
        <v>2025-11-24</v>
      </c>
      <c r="D624">
        <f t="shared" si="64"/>
        <v>0</v>
      </c>
      <c r="E624" t="str">
        <f t="shared" si="65"/>
        <v>2025-11-25 - Tuesday</v>
      </c>
      <c r="F624" t="str">
        <f t="shared" si="66"/>
        <v>Recs:</v>
      </c>
      <c r="G624" t="str">
        <f t="shared" si="67"/>
        <v>ASML – ASML Holding N.V. (semiconductor equipment)</v>
      </c>
      <c r="H624" t="str">
        <f t="shared" si="68"/>
        <v>LRCX – Lam Research Corporation (semiconductor manufacturing)</v>
      </c>
    </row>
    <row r="625" spans="1:8" x14ac:dyDescent="0.35">
      <c r="A625" t="s">
        <v>60</v>
      </c>
      <c r="B625" s="1" t="b">
        <f t="shared" si="62"/>
        <v>0</v>
      </c>
      <c r="C625" s="1" t="str">
        <f t="shared" si="63"/>
        <v>2025-11-24</v>
      </c>
      <c r="D625" t="str">
        <f t="shared" si="64"/>
        <v>2025-11-25 - Tuesday</v>
      </c>
      <c r="E625" t="str">
        <f t="shared" si="65"/>
        <v>Recs:</v>
      </c>
      <c r="F625" t="str">
        <f t="shared" si="66"/>
        <v>ASML – ASML Holding N.V. (semiconductor equipment)</v>
      </c>
      <c r="G625" t="str">
        <f t="shared" si="67"/>
        <v>LRCX – Lam Research Corporation (semiconductor manufacturing)</v>
      </c>
      <c r="H625" t="str">
        <f t="shared" si="68"/>
        <v>COST – Costco Wholesale Corporation (consumer retail)</v>
      </c>
    </row>
    <row r="626" spans="1:8" x14ac:dyDescent="0.35">
      <c r="B626" s="1" t="b">
        <f t="shared" si="62"/>
        <v>0</v>
      </c>
      <c r="C626" s="1" t="str">
        <f t="shared" si="63"/>
        <v>2025-11-24</v>
      </c>
      <c r="D626" t="str">
        <f t="shared" si="64"/>
        <v>Recs:</v>
      </c>
      <c r="E626" t="str">
        <f t="shared" si="65"/>
        <v>ASML – ASML Holding N.V. (semiconductor equipment)</v>
      </c>
      <c r="F626" t="str">
        <f t="shared" si="66"/>
        <v>LRCX – Lam Research Corporation (semiconductor manufacturing)</v>
      </c>
      <c r="G626" t="str">
        <f t="shared" si="67"/>
        <v>COST – Costco Wholesale Corporation (consumer retail)</v>
      </c>
      <c r="H626" t="str">
        <f t="shared" si="68"/>
        <v>ALB – Albemarle Corporation (lithium/EV materials)</v>
      </c>
    </row>
    <row r="627" spans="1:8" x14ac:dyDescent="0.35">
      <c r="A627" s="2" t="s">
        <v>67</v>
      </c>
      <c r="B627" s="1" t="b">
        <f t="shared" si="62"/>
        <v>1</v>
      </c>
      <c r="C627" s="1" t="str">
        <f t="shared" si="63"/>
        <v>2025-11-25</v>
      </c>
      <c r="D627" t="str">
        <f t="shared" si="64"/>
        <v>ASML – ASML Holding N.V. (semiconductor equipment)</v>
      </c>
      <c r="E627" t="str">
        <f t="shared" si="65"/>
        <v>LRCX – Lam Research Corporation (semiconductor manufacturing)</v>
      </c>
      <c r="F627" t="str">
        <f t="shared" si="66"/>
        <v>COST – Costco Wholesale Corporation (consumer retail)</v>
      </c>
      <c r="G627" t="str">
        <f t="shared" si="67"/>
        <v>ALB – Albemarle Corporation (lithium/EV materials)</v>
      </c>
      <c r="H627" t="str">
        <f t="shared" si="68"/>
        <v>PTC – PTC Inc. (industrial software)</v>
      </c>
    </row>
    <row r="628" spans="1:8" x14ac:dyDescent="0.35">
      <c r="A628" t="s">
        <v>1</v>
      </c>
      <c r="B628" s="1" t="b">
        <f t="shared" si="62"/>
        <v>0</v>
      </c>
      <c r="C628" s="1" t="str">
        <f t="shared" si="63"/>
        <v>2025-11-25</v>
      </c>
      <c r="D628" t="str">
        <f t="shared" si="64"/>
        <v>LRCX – Lam Research Corporation (semiconductor manufacturing)</v>
      </c>
      <c r="E628" t="str">
        <f t="shared" si="65"/>
        <v>COST – Costco Wholesale Corporation (consumer retail)</v>
      </c>
      <c r="F628" t="str">
        <f t="shared" si="66"/>
        <v>ALB – Albemarle Corporation (lithium/EV materials)</v>
      </c>
      <c r="G628" t="str">
        <f t="shared" si="67"/>
        <v>PTC – PTC Inc. (industrial software)</v>
      </c>
      <c r="H628" t="str">
        <f t="shared" si="68"/>
        <v>Perf (prev recs):</v>
      </c>
    </row>
    <row r="629" spans="1:8" x14ac:dyDescent="0.35">
      <c r="A629" t="s">
        <v>68</v>
      </c>
      <c r="B629" s="1" t="b">
        <f t="shared" si="62"/>
        <v>0</v>
      </c>
      <c r="C629" s="1" t="str">
        <f t="shared" si="63"/>
        <v>2025-11-25</v>
      </c>
      <c r="D629" t="str">
        <f t="shared" si="64"/>
        <v>COST – Costco Wholesale Corporation (consumer retail)</v>
      </c>
      <c r="E629" t="str">
        <f t="shared" si="65"/>
        <v>ALB – Albemarle Corporation (lithium/EV materials)</v>
      </c>
      <c r="F629" t="str">
        <f t="shared" si="66"/>
        <v>PTC – PTC Inc. (industrial software)</v>
      </c>
      <c r="G629" t="str">
        <f t="shared" si="67"/>
        <v>Perf (prev recs):</v>
      </c>
      <c r="H629" t="str">
        <f t="shared" si="68"/>
        <v>WBD +N/A%</v>
      </c>
    </row>
    <row r="630" spans="1:8" x14ac:dyDescent="0.35">
      <c r="A630" t="s">
        <v>69</v>
      </c>
      <c r="B630" s="1" t="b">
        <f t="shared" si="62"/>
        <v>0</v>
      </c>
      <c r="C630" s="1" t="str">
        <f t="shared" si="63"/>
        <v>2025-11-25</v>
      </c>
      <c r="D630" t="str">
        <f t="shared" si="64"/>
        <v>ALB – Albemarle Corporation (lithium/EV materials)</v>
      </c>
      <c r="E630" t="str">
        <f t="shared" si="65"/>
        <v>PTC – PTC Inc. (industrial software)</v>
      </c>
      <c r="F630" t="str">
        <f t="shared" si="66"/>
        <v>Perf (prev recs):</v>
      </c>
      <c r="G630" t="str">
        <f t="shared" si="67"/>
        <v>WBD +N/A%</v>
      </c>
      <c r="H630" t="str">
        <f t="shared" si="68"/>
        <v>COST +N/A%</v>
      </c>
    </row>
    <row r="631" spans="1:8" x14ac:dyDescent="0.35">
      <c r="A631" t="s">
        <v>63</v>
      </c>
      <c r="B631" s="1" t="b">
        <f t="shared" si="62"/>
        <v>0</v>
      </c>
      <c r="C631" s="1" t="str">
        <f t="shared" si="63"/>
        <v>2025-11-25</v>
      </c>
      <c r="D631" t="str">
        <f t="shared" si="64"/>
        <v>PTC – PTC Inc. (industrial software)</v>
      </c>
      <c r="E631" t="str">
        <f t="shared" si="65"/>
        <v>Perf (prev recs):</v>
      </c>
      <c r="F631" t="str">
        <f t="shared" si="66"/>
        <v>WBD +N/A%</v>
      </c>
      <c r="G631" t="str">
        <f t="shared" si="67"/>
        <v>COST +N/A%</v>
      </c>
      <c r="H631" t="str">
        <f t="shared" si="68"/>
        <v>LRCX +N/A%</v>
      </c>
    </row>
    <row r="632" spans="1:8" x14ac:dyDescent="0.35">
      <c r="A632" t="s">
        <v>70</v>
      </c>
      <c r="B632" s="1" t="b">
        <f t="shared" si="62"/>
        <v>0</v>
      </c>
      <c r="C632" s="1" t="str">
        <f t="shared" si="63"/>
        <v>2025-11-25</v>
      </c>
      <c r="D632" t="str">
        <f t="shared" si="64"/>
        <v>Perf (prev recs):</v>
      </c>
      <c r="E632" t="str">
        <f t="shared" si="65"/>
        <v>WBD +N/A%</v>
      </c>
      <c r="F632" t="str">
        <f t="shared" si="66"/>
        <v>COST +N/A%</v>
      </c>
      <c r="G632" t="str">
        <f t="shared" si="67"/>
        <v>LRCX +N/A%</v>
      </c>
      <c r="H632" t="str">
        <f t="shared" si="68"/>
        <v>ASML +N/A%</v>
      </c>
    </row>
    <row r="633" spans="1:8" x14ac:dyDescent="0.35">
      <c r="A633" t="s">
        <v>71</v>
      </c>
      <c r="B633" s="1" t="b">
        <f t="shared" si="62"/>
        <v>0</v>
      </c>
      <c r="C633" s="1" t="str">
        <f t="shared" si="63"/>
        <v>2025-11-25</v>
      </c>
      <c r="D633" t="str">
        <f t="shared" si="64"/>
        <v>WBD +N/A%</v>
      </c>
      <c r="E633" t="str">
        <f t="shared" si="65"/>
        <v>COST +N/A%</v>
      </c>
      <c r="F633" t="str">
        <f t="shared" si="66"/>
        <v>LRCX +N/A%</v>
      </c>
      <c r="G633" t="str">
        <f t="shared" si="67"/>
        <v>ASML +N/A%</v>
      </c>
      <c r="H633" t="str">
        <f t="shared" si="68"/>
        <v>ALLIGO B +N/A%</v>
      </c>
    </row>
    <row r="634" spans="1:8" x14ac:dyDescent="0.35">
      <c r="A634" t="s">
        <v>7</v>
      </c>
      <c r="B634" s="1" t="b">
        <f t="shared" si="62"/>
        <v>0</v>
      </c>
      <c r="C634" s="1" t="str">
        <f t="shared" si="63"/>
        <v>2025-11-25</v>
      </c>
      <c r="D634" t="str">
        <f t="shared" si="64"/>
        <v>COST +N/A%</v>
      </c>
      <c r="E634" t="str">
        <f t="shared" si="65"/>
        <v>LRCX +N/A%</v>
      </c>
      <c r="F634" t="str">
        <f t="shared" si="66"/>
        <v>ASML +N/A%</v>
      </c>
      <c r="G634" t="str">
        <f t="shared" si="67"/>
        <v>ALLIGO B +N/A%</v>
      </c>
      <c r="H634" t="str">
        <f t="shared" si="68"/>
        <v>Avg +N/A%</v>
      </c>
    </row>
    <row r="635" spans="1:8" x14ac:dyDescent="0.35">
      <c r="A635" t="s">
        <v>72</v>
      </c>
      <c r="B635" s="1" t="b">
        <f t="shared" si="62"/>
        <v>0</v>
      </c>
      <c r="C635" s="1" t="str">
        <f t="shared" si="63"/>
        <v>2025-11-25</v>
      </c>
      <c r="D635" t="str">
        <f t="shared" si="64"/>
        <v>LRCX +N/A%</v>
      </c>
      <c r="E635" t="str">
        <f t="shared" si="65"/>
        <v>ASML +N/A%</v>
      </c>
      <c r="F635" t="str">
        <f t="shared" si="66"/>
        <v>ALLIGO B +N/A%</v>
      </c>
      <c r="G635" t="str">
        <f t="shared" si="67"/>
        <v>Avg +N/A%</v>
      </c>
      <c r="H635" t="str">
        <f t="shared" si="68"/>
        <v>S&amp;P500 +N/A%</v>
      </c>
    </row>
    <row r="636" spans="1:8" x14ac:dyDescent="0.35">
      <c r="A636" t="s">
        <v>73</v>
      </c>
      <c r="B636" s="1" t="b">
        <f t="shared" si="62"/>
        <v>0</v>
      </c>
      <c r="C636" s="1" t="str">
        <f t="shared" si="63"/>
        <v>2025-11-25</v>
      </c>
      <c r="D636" t="str">
        <f t="shared" si="64"/>
        <v>ASML +N/A%</v>
      </c>
      <c r="E636" t="str">
        <f t="shared" si="65"/>
        <v>ALLIGO B +N/A%</v>
      </c>
      <c r="F636" t="str">
        <f t="shared" si="66"/>
        <v>Avg +N/A%</v>
      </c>
      <c r="G636" t="str">
        <f t="shared" si="67"/>
        <v>S&amp;P500 +N/A%</v>
      </c>
      <c r="H636">
        <f t="shared" si="68"/>
        <v>0</v>
      </c>
    </row>
    <row r="637" spans="1:8" x14ac:dyDescent="0.35">
      <c r="A637" t="s">
        <v>74</v>
      </c>
      <c r="B637" s="1" t="b">
        <f t="shared" si="62"/>
        <v>0</v>
      </c>
      <c r="C637" s="1" t="str">
        <f t="shared" si="63"/>
        <v>2025-11-25</v>
      </c>
      <c r="D637" t="str">
        <f t="shared" si="64"/>
        <v>ALLIGO B +N/A%</v>
      </c>
      <c r="E637" t="str">
        <f t="shared" si="65"/>
        <v>Avg +N/A%</v>
      </c>
      <c r="F637" t="str">
        <f t="shared" si="66"/>
        <v>S&amp;P500 +N/A%</v>
      </c>
      <c r="G637">
        <f t="shared" si="67"/>
        <v>0</v>
      </c>
      <c r="H637" t="str">
        <f t="shared" si="68"/>
        <v>This automation has been paused due to too many unread executions. You can resume it in automations settings or by asking ChatGPT.</v>
      </c>
    </row>
    <row r="638" spans="1:8" x14ac:dyDescent="0.35">
      <c r="A638" t="s">
        <v>75</v>
      </c>
      <c r="B638" s="1" t="b">
        <f t="shared" si="62"/>
        <v>0</v>
      </c>
      <c r="C638" s="1" t="str">
        <f t="shared" si="63"/>
        <v>2025-11-25</v>
      </c>
      <c r="D638" t="str">
        <f t="shared" si="64"/>
        <v>Avg +N/A%</v>
      </c>
      <c r="E638" t="str">
        <f t="shared" si="65"/>
        <v>S&amp;P500 +N/A%</v>
      </c>
      <c r="F638">
        <f t="shared" si="66"/>
        <v>0</v>
      </c>
      <c r="G638" t="str">
        <f t="shared" si="67"/>
        <v>This automation has been paused due to too many unread executions. You can resume it in automations settings or by asking ChatGPT.</v>
      </c>
      <c r="H638" t="str">
        <f t="shared" si="68"/>
        <v>Recs:</v>
      </c>
    </row>
    <row r="639" spans="1:8" x14ac:dyDescent="0.35">
      <c r="A639" t="s">
        <v>76</v>
      </c>
      <c r="B639" s="1" t="b">
        <f t="shared" si="62"/>
        <v>0</v>
      </c>
      <c r="C639" s="1" t="str">
        <f t="shared" si="63"/>
        <v>2025-11-25</v>
      </c>
      <c r="D639" t="str">
        <f t="shared" si="64"/>
        <v>S&amp;P500 +N/A%</v>
      </c>
      <c r="E639">
        <f t="shared" si="65"/>
        <v>0</v>
      </c>
      <c r="F639" t="str">
        <f t="shared" si="66"/>
        <v>This automation has been paused due to too many unread executions. You can resume it in automations settings or by asking ChatGPT.</v>
      </c>
      <c r="G639" t="str">
        <f t="shared" si="67"/>
        <v>Recs:</v>
      </c>
      <c r="H639" t="str">
        <f t="shared" si="68"/>
        <v>GEV - GE Vernova Inc (breakout after strong catalyst and technical momentum)Investors+1</v>
      </c>
    </row>
    <row r="640" spans="1:8" x14ac:dyDescent="0.35">
      <c r="A640" t="s">
        <v>59</v>
      </c>
      <c r="B640" s="1" t="b">
        <f t="shared" si="62"/>
        <v>0</v>
      </c>
      <c r="C640" s="1" t="str">
        <f t="shared" si="63"/>
        <v>2025-11-25</v>
      </c>
      <c r="D640">
        <f t="shared" si="64"/>
        <v>0</v>
      </c>
      <c r="E640" t="str">
        <f t="shared" si="65"/>
        <v>This automation has been paused due to too many unread executions. You can resume it in automations settings or by asking ChatGPT.</v>
      </c>
      <c r="F640" t="str">
        <f t="shared" si="66"/>
        <v>Recs:</v>
      </c>
      <c r="G640" t="str">
        <f t="shared" si="67"/>
        <v>GEV - GE Vernova Inc (breakout after strong catalyst and technical momentum)Investors+1</v>
      </c>
      <c r="H640" t="str">
        <f t="shared" si="68"/>
        <v>PLTR - Palantir Technologies (recent contract win and positive flow)Barron's</v>
      </c>
    </row>
    <row r="641" spans="1:8" x14ac:dyDescent="0.35">
      <c r="A641" t="s">
        <v>60</v>
      </c>
      <c r="B641" s="1" t="b">
        <f t="shared" si="62"/>
        <v>0</v>
      </c>
      <c r="C641" s="1" t="str">
        <f t="shared" si="63"/>
        <v>2025-11-25</v>
      </c>
      <c r="D641" t="str">
        <f t="shared" si="64"/>
        <v>This automation has been paused due to too many unread executions. You can resume it in automations settings or by asking ChatGPT.</v>
      </c>
      <c r="E641" t="str">
        <f t="shared" si="65"/>
        <v>Recs:</v>
      </c>
      <c r="F641" t="str">
        <f t="shared" si="66"/>
        <v>GEV - GE Vernova Inc (breakout after strong catalyst and technical momentum)Investors+1</v>
      </c>
      <c r="G641" t="str">
        <f t="shared" si="67"/>
        <v>PLTR - Palantir Technologies (recent contract win and positive flow)Barron's</v>
      </c>
      <c r="H641" t="str">
        <f t="shared" si="68"/>
        <v>SATS - EchoStar Corp (premarket strength and sector interest)Barron's</v>
      </c>
    </row>
    <row r="642" spans="1:8" x14ac:dyDescent="0.35">
      <c r="B642" s="1" t="b">
        <f t="shared" si="62"/>
        <v>0</v>
      </c>
      <c r="C642" s="1" t="str">
        <f t="shared" si="63"/>
        <v>2025-11-25</v>
      </c>
      <c r="D642" t="str">
        <f t="shared" si="64"/>
        <v>Recs:</v>
      </c>
      <c r="E642" t="str">
        <f t="shared" si="65"/>
        <v>GEV - GE Vernova Inc (breakout after strong catalyst and technical momentum)Investors+1</v>
      </c>
      <c r="F642" t="str">
        <f t="shared" si="66"/>
        <v>PLTR - Palantir Technologies (recent contract win and positive flow)Barron's</v>
      </c>
      <c r="G642" t="str">
        <f t="shared" si="67"/>
        <v>SATS - EchoStar Corp (premarket strength and sector interest)Barron's</v>
      </c>
      <c r="H642" t="str">
        <f t="shared" si="68"/>
        <v>AVTR - Avantor Inc (premarket gains signaling momentum)Barron's</v>
      </c>
    </row>
    <row r="643" spans="1:8" x14ac:dyDescent="0.35">
      <c r="A643" t="s">
        <v>320</v>
      </c>
      <c r="B643" s="1" t="b">
        <f t="shared" si="62"/>
        <v>0</v>
      </c>
      <c r="C643" s="1" t="str">
        <f t="shared" si="63"/>
        <v>2025-11-25</v>
      </c>
      <c r="D643" t="str">
        <f t="shared" si="64"/>
        <v>GEV - GE Vernova Inc (breakout after strong catalyst and technical momentum)Investors+1</v>
      </c>
      <c r="E643" t="str">
        <f t="shared" si="65"/>
        <v>PLTR - Palantir Technologies (recent contract win and positive flow)Barron's</v>
      </c>
      <c r="F643" t="str">
        <f t="shared" si="66"/>
        <v>SATS - EchoStar Corp (premarket strength and sector interest)Barron's</v>
      </c>
      <c r="G643" t="str">
        <f t="shared" si="67"/>
        <v>AVTR - Avantor Inc (premarket gains signaling momentum)Barron's</v>
      </c>
      <c r="H643" t="str">
        <f t="shared" si="68"/>
        <v>FSLR - First Solar (sector news on project supply momentum)Simply Wall St</v>
      </c>
    </row>
    <row r="644" spans="1:8" x14ac:dyDescent="0.35">
      <c r="A644" t="s">
        <v>1</v>
      </c>
      <c r="B644" s="1" t="b">
        <f t="shared" si="62"/>
        <v>0</v>
      </c>
      <c r="C644" s="1" t="str">
        <f t="shared" si="63"/>
        <v>2025-11-25</v>
      </c>
      <c r="D644" t="str">
        <f t="shared" si="64"/>
        <v>PLTR - Palantir Technologies (recent contract win and positive flow)Barron's</v>
      </c>
      <c r="E644" t="str">
        <f t="shared" si="65"/>
        <v>SATS - EchoStar Corp (premarket strength and sector interest)Barron's</v>
      </c>
      <c r="F644" t="str">
        <f t="shared" si="66"/>
        <v>AVTR - Avantor Inc (premarket gains signaling momentum)Barron's</v>
      </c>
      <c r="G644" t="str">
        <f t="shared" si="67"/>
        <v>FSLR - First Solar (sector news on project supply momentum)Simply Wall St</v>
      </c>
      <c r="H644">
        <f t="shared" si="68"/>
        <v>0</v>
      </c>
    </row>
    <row r="645" spans="1:8" x14ac:dyDescent="0.35">
      <c r="A645" t="s">
        <v>321</v>
      </c>
      <c r="B645" s="1" t="b">
        <f t="shared" si="62"/>
        <v>0</v>
      </c>
      <c r="C645" s="1" t="str">
        <f t="shared" si="63"/>
        <v>2025-11-25</v>
      </c>
      <c r="D645" t="str">
        <f t="shared" si="64"/>
        <v>SATS - EchoStar Corp (premarket strength and sector interest)Barron's</v>
      </c>
      <c r="E645" t="str">
        <f t="shared" si="65"/>
        <v>AVTR - Avantor Inc (premarket gains signaling momentum)Barron's</v>
      </c>
      <c r="F645" t="str">
        <f t="shared" si="66"/>
        <v>FSLR - First Solar (sector news on project supply momentum)Simply Wall St</v>
      </c>
      <c r="G645">
        <f t="shared" si="67"/>
        <v>0</v>
      </c>
      <c r="H645" t="str">
        <f t="shared" si="68"/>
        <v>Prev days return S&amp;P500 +0.67%investing.com</v>
      </c>
    </row>
    <row r="646" spans="1:8" x14ac:dyDescent="0.35">
      <c r="A646" t="s">
        <v>322</v>
      </c>
      <c r="B646" s="1" t="b">
        <f t="shared" si="62"/>
        <v>0</v>
      </c>
      <c r="C646" s="1" t="str">
        <f t="shared" si="63"/>
        <v>2025-11-25</v>
      </c>
      <c r="D646" t="str">
        <f t="shared" si="64"/>
        <v>AVTR - Avantor Inc (premarket gains signaling momentum)Barron's</v>
      </c>
      <c r="E646" t="str">
        <f t="shared" si="65"/>
        <v>FSLR - First Solar (sector news on project supply momentum)Simply Wall St</v>
      </c>
      <c r="F646">
        <f t="shared" si="66"/>
        <v>0</v>
      </c>
      <c r="G646" t="str">
        <f t="shared" si="67"/>
        <v>Prev days return S&amp;P500 +0.67%investing.com</v>
      </c>
      <c r="H646">
        <f t="shared" si="68"/>
        <v>0</v>
      </c>
    </row>
    <row r="647" spans="1:8" x14ac:dyDescent="0.35">
      <c r="A647" t="s">
        <v>323</v>
      </c>
      <c r="B647" s="1" t="b">
        <f t="shared" si="62"/>
        <v>0</v>
      </c>
      <c r="C647" s="1" t="str">
        <f t="shared" si="63"/>
        <v>2025-11-25</v>
      </c>
      <c r="D647" t="str">
        <f t="shared" si="64"/>
        <v>FSLR - First Solar (sector news on project supply momentum)Simply Wall St</v>
      </c>
      <c r="E647">
        <f t="shared" si="65"/>
        <v>0</v>
      </c>
      <c r="F647" t="str">
        <f t="shared" si="66"/>
        <v>Prev days return S&amp;P500 +0.67%investing.com</v>
      </c>
      <c r="G647">
        <f t="shared" si="67"/>
        <v>0</v>
      </c>
      <c r="H647" t="str">
        <f t="shared" si="68"/>
        <v>2025‑12‑12 / 08:15 - Friday</v>
      </c>
    </row>
    <row r="648" spans="1:8" x14ac:dyDescent="0.35">
      <c r="A648" t="s">
        <v>324</v>
      </c>
      <c r="B648" s="1" t="b">
        <f t="shared" si="62"/>
        <v>0</v>
      </c>
      <c r="C648" s="1" t="str">
        <f t="shared" si="63"/>
        <v>2025-11-25</v>
      </c>
      <c r="D648">
        <f t="shared" si="64"/>
        <v>0</v>
      </c>
      <c r="E648" t="str">
        <f t="shared" si="65"/>
        <v>Prev days return S&amp;P500 +0.67%investing.com</v>
      </c>
      <c r="F648">
        <f t="shared" si="66"/>
        <v>0</v>
      </c>
      <c r="G648" t="str">
        <f t="shared" si="67"/>
        <v>2025‑12‑12 / 08:15 - Friday</v>
      </c>
      <c r="H648">
        <f t="shared" si="68"/>
        <v>0</v>
      </c>
    </row>
    <row r="649" spans="1:8" x14ac:dyDescent="0.35">
      <c r="A649" t="s">
        <v>325</v>
      </c>
      <c r="B649" s="1" t="b">
        <f t="shared" si="62"/>
        <v>0</v>
      </c>
      <c r="C649" s="1" t="str">
        <f t="shared" si="63"/>
        <v>2025-11-25</v>
      </c>
      <c r="D649" t="str">
        <f t="shared" si="64"/>
        <v>Prev days return S&amp;P500 +0.67%investing.com</v>
      </c>
      <c r="E649">
        <f t="shared" si="65"/>
        <v>0</v>
      </c>
      <c r="F649" t="str">
        <f t="shared" si="66"/>
        <v>2025‑12‑12 / 08:15 - Friday</v>
      </c>
      <c r="G649">
        <f t="shared" si="67"/>
        <v>0</v>
      </c>
      <c r="H649" t="str">
        <f t="shared" si="68"/>
        <v>Recs:</v>
      </c>
    </row>
    <row r="650" spans="1:8" x14ac:dyDescent="0.35">
      <c r="B650" s="1" t="b">
        <f t="shared" si="62"/>
        <v>0</v>
      </c>
      <c r="C650" s="1" t="str">
        <f t="shared" si="63"/>
        <v>2025-11-25</v>
      </c>
      <c r="D650">
        <f t="shared" si="64"/>
        <v>0</v>
      </c>
      <c r="E650" t="str">
        <f t="shared" si="65"/>
        <v>2025‑12‑12 / 08:15 - Friday</v>
      </c>
      <c r="F650">
        <f t="shared" si="66"/>
        <v>0</v>
      </c>
      <c r="G650" t="str">
        <f t="shared" si="67"/>
        <v>Recs:</v>
      </c>
      <c r="H650" t="str">
        <f t="shared" si="68"/>
        <v>NVDA - Nvidia (momentum from AI demand and trading strength)</v>
      </c>
    </row>
    <row r="651" spans="1:8" x14ac:dyDescent="0.35">
      <c r="A651" t="s">
        <v>326</v>
      </c>
      <c r="B651" s="1" t="b">
        <f t="shared" si="62"/>
        <v>0</v>
      </c>
      <c r="C651" s="1" t="str">
        <f t="shared" si="63"/>
        <v>2025-11-25</v>
      </c>
      <c r="D651" t="str">
        <f t="shared" si="64"/>
        <v>2025‑12‑12 / 08:15 - Friday</v>
      </c>
      <c r="E651">
        <f t="shared" si="65"/>
        <v>0</v>
      </c>
      <c r="F651" t="str">
        <f t="shared" si="66"/>
        <v>Recs:</v>
      </c>
      <c r="G651" t="str">
        <f t="shared" si="67"/>
        <v>NVDA - Nvidia (momentum from AI demand and trading strength)</v>
      </c>
      <c r="H651" t="str">
        <f t="shared" si="68"/>
        <v>MSFT - Microsoft (strong cloud earnings sentiment driving flow)</v>
      </c>
    </row>
    <row r="652" spans="1:8" x14ac:dyDescent="0.35">
      <c r="B652" s="1" t="b">
        <f t="shared" si="62"/>
        <v>0</v>
      </c>
      <c r="C652" s="1" t="str">
        <f t="shared" si="63"/>
        <v>2025-11-25</v>
      </c>
      <c r="D652">
        <f t="shared" si="64"/>
        <v>0</v>
      </c>
      <c r="E652" t="str">
        <f t="shared" si="65"/>
        <v>Recs:</v>
      </c>
      <c r="F652" t="str">
        <f t="shared" si="66"/>
        <v>NVDA - Nvidia (momentum from AI demand and trading strength)</v>
      </c>
      <c r="G652" t="str">
        <f t="shared" si="67"/>
        <v>MSFT - Microsoft (strong cloud earnings sentiment driving flow)</v>
      </c>
      <c r="H652" t="str">
        <f t="shared" si="68"/>
        <v>TSLA - Tesla (price breakout and volume spike)</v>
      </c>
    </row>
    <row r="653" spans="1:8" x14ac:dyDescent="0.35">
      <c r="A653" s="2" t="s">
        <v>327</v>
      </c>
      <c r="B653" s="1" t="b">
        <f t="shared" si="62"/>
        <v>1</v>
      </c>
      <c r="C653" s="1" t="str">
        <f t="shared" si="63"/>
        <v>2025‑12‑12</v>
      </c>
      <c r="D653" t="str">
        <f>A656</f>
        <v>NVDA - Nvidia (momentum from AI demand and trading strength)</v>
      </c>
      <c r="E653" t="str">
        <f>A657</f>
        <v>MSFT - Microsoft (strong cloud earnings sentiment driving flow)</v>
      </c>
      <c r="F653" t="str">
        <f>A658</f>
        <v>TSLA - Tesla (price breakout and volume spike)</v>
      </c>
      <c r="G653" t="str">
        <f>A659</f>
        <v>BAC - Bank of America (financials strength on rates outlook)</v>
      </c>
      <c r="H653" t="str">
        <f t="shared" ref="H653:H685" si="69">A660</f>
        <v>XOM - Exxon Mobil (energy sector rebound)</v>
      </c>
    </row>
    <row r="654" spans="1:8" x14ac:dyDescent="0.35">
      <c r="B654" s="1" t="b">
        <f t="shared" si="62"/>
        <v>0</v>
      </c>
      <c r="C654" s="1" t="str">
        <f t="shared" si="63"/>
        <v>2025‑12‑12</v>
      </c>
      <c r="D654" t="str">
        <f>A657</f>
        <v>MSFT - Microsoft (strong cloud earnings sentiment driving flow)</v>
      </c>
      <c r="E654" t="str">
        <f>A658</f>
        <v>TSLA - Tesla (price breakout and volume spike)</v>
      </c>
      <c r="F654" t="str">
        <f>A659</f>
        <v>BAC - Bank of America (financials strength on rates outlook)</v>
      </c>
      <c r="G654" t="str">
        <f>A660</f>
        <v>XOM - Exxon Mobil (energy sector rebound)</v>
      </c>
      <c r="H654">
        <f t="shared" si="69"/>
        <v>0</v>
      </c>
    </row>
    <row r="655" spans="1:8" x14ac:dyDescent="0.35">
      <c r="A655" t="s">
        <v>1</v>
      </c>
      <c r="B655" s="1" t="b">
        <f t="shared" si="62"/>
        <v>0</v>
      </c>
      <c r="C655" s="1" t="str">
        <f t="shared" si="63"/>
        <v>2025‑12‑12</v>
      </c>
      <c r="D655" t="str">
        <f>A658</f>
        <v>TSLA - Tesla (price breakout and volume spike)</v>
      </c>
      <c r="E655" t="str">
        <f>A659</f>
        <v>BAC - Bank of America (financials strength on rates outlook)</v>
      </c>
      <c r="F655" t="str">
        <f>A660</f>
        <v>XOM - Exxon Mobil (energy sector rebound)</v>
      </c>
      <c r="G655">
        <f>A661</f>
        <v>0</v>
      </c>
      <c r="H655" t="str">
        <f t="shared" si="69"/>
        <v>Prev days return S&amp;P500 +0.30%</v>
      </c>
    </row>
    <row r="656" spans="1:8" x14ac:dyDescent="0.35">
      <c r="A656" t="s">
        <v>328</v>
      </c>
      <c r="B656" s="1" t="b">
        <f t="shared" si="62"/>
        <v>0</v>
      </c>
      <c r="C656" s="1" t="str">
        <f t="shared" si="63"/>
        <v>2025‑12‑12</v>
      </c>
      <c r="D656" t="str">
        <f>A659</f>
        <v>BAC - Bank of America (financials strength on rates outlook)</v>
      </c>
      <c r="E656" t="str">
        <f>A660</f>
        <v>XOM - Exxon Mobil (energy sector rebound)</v>
      </c>
      <c r="F656">
        <f>A661</f>
        <v>0</v>
      </c>
      <c r="G656" t="str">
        <f>A662</f>
        <v>Prev days return S&amp;P500 +0.30%</v>
      </c>
      <c r="H656">
        <f t="shared" si="69"/>
        <v>0</v>
      </c>
    </row>
    <row r="657" spans="1:8" x14ac:dyDescent="0.35">
      <c r="A657" t="s">
        <v>329</v>
      </c>
      <c r="B657" s="1" t="b">
        <f t="shared" si="62"/>
        <v>0</v>
      </c>
      <c r="C657" s="1" t="str">
        <f t="shared" si="63"/>
        <v>2025‑12‑12</v>
      </c>
      <c r="D657" t="str">
        <f>A660</f>
        <v>XOM - Exxon Mobil (energy sector rebound)</v>
      </c>
      <c r="E657">
        <f>A661</f>
        <v>0</v>
      </c>
      <c r="F657" t="str">
        <f>A662</f>
        <v>Prev days return S&amp;P500 +0.30%</v>
      </c>
      <c r="G657">
        <f>A663</f>
        <v>0</v>
      </c>
      <c r="H657" t="str">
        <f t="shared" si="69"/>
        <v>2025‑12‑13 / 08:15 - Saturday</v>
      </c>
    </row>
    <row r="658" spans="1:8" x14ac:dyDescent="0.35">
      <c r="A658" t="s">
        <v>330</v>
      </c>
      <c r="B658" s="1" t="b">
        <f t="shared" si="62"/>
        <v>0</v>
      </c>
      <c r="C658" s="1" t="str">
        <f t="shared" si="63"/>
        <v>2025‑12‑12</v>
      </c>
      <c r="D658">
        <f>A661</f>
        <v>0</v>
      </c>
      <c r="E658" t="str">
        <f>A662</f>
        <v>Prev days return S&amp;P500 +0.30%</v>
      </c>
      <c r="F658">
        <f>A663</f>
        <v>0</v>
      </c>
      <c r="G658" t="str">
        <f>A664</f>
        <v>2025‑12‑13 / 08:15 - Saturday</v>
      </c>
      <c r="H658">
        <f t="shared" si="69"/>
        <v>0</v>
      </c>
    </row>
    <row r="659" spans="1:8" x14ac:dyDescent="0.35">
      <c r="A659" t="s">
        <v>331</v>
      </c>
      <c r="B659" s="1" t="b">
        <f t="shared" ref="B659:B695" si="70">ISNUMBER(LEFT(A659,4)+1-1)</f>
        <v>0</v>
      </c>
      <c r="C659" s="1" t="str">
        <f t="shared" ref="C659:C695" si="71">IF(B659,LEFT(A659,10),C658)</f>
        <v>2025‑12‑12</v>
      </c>
      <c r="D659" t="str">
        <f t="shared" ref="D659:D695" si="72">A662</f>
        <v>Prev days return S&amp;P500 +0.30%</v>
      </c>
      <c r="E659">
        <f t="shared" ref="E659:E695" si="73">A663</f>
        <v>0</v>
      </c>
      <c r="F659" t="str">
        <f t="shared" ref="F659:F695" si="74">A664</f>
        <v>2025‑12‑13 / 08:15 - Saturday</v>
      </c>
      <c r="G659">
        <f t="shared" ref="G659:G695" si="75">A665</f>
        <v>0</v>
      </c>
      <c r="H659" t="str">
        <f t="shared" si="69"/>
        <v>Recs:</v>
      </c>
    </row>
    <row r="660" spans="1:8" x14ac:dyDescent="0.35">
      <c r="A660" t="s">
        <v>332</v>
      </c>
      <c r="B660" s="1" t="b">
        <f t="shared" si="70"/>
        <v>0</v>
      </c>
      <c r="C660" s="1" t="str">
        <f t="shared" si="71"/>
        <v>2025‑12‑12</v>
      </c>
      <c r="D660">
        <f t="shared" si="72"/>
        <v>0</v>
      </c>
      <c r="E660" t="str">
        <f t="shared" si="73"/>
        <v>2025‑12‑13 / 08:15 - Saturday</v>
      </c>
      <c r="F660">
        <f t="shared" si="74"/>
        <v>0</v>
      </c>
      <c r="G660" t="str">
        <f t="shared" si="75"/>
        <v>Recs:</v>
      </c>
      <c r="H660" t="str">
        <f t="shared" si="69"/>
        <v>COIN - Coinbase Global Inc (crypto‑equity trading interest rising)TS2 Tech</v>
      </c>
    </row>
    <row r="661" spans="1:8" x14ac:dyDescent="0.35">
      <c r="B661" s="1" t="b">
        <f t="shared" si="70"/>
        <v>0</v>
      </c>
      <c r="C661" s="1" t="str">
        <f t="shared" si="71"/>
        <v>2025‑12‑12</v>
      </c>
      <c r="D661" t="str">
        <f t="shared" si="72"/>
        <v>2025‑12‑13 / 08:15 - Saturday</v>
      </c>
      <c r="E661">
        <f t="shared" si="73"/>
        <v>0</v>
      </c>
      <c r="F661" t="str">
        <f t="shared" si="74"/>
        <v>Recs:</v>
      </c>
      <c r="G661" t="str">
        <f t="shared" si="75"/>
        <v>COIN - Coinbase Global Inc (crypto‑equity trading interest rising)TS2 Tech</v>
      </c>
      <c r="H661" t="str">
        <f t="shared" si="69"/>
        <v>CVX - Chevron Corp (analyst forecasts and capex catalyst)TS2 Tech</v>
      </c>
    </row>
    <row r="662" spans="1:8" x14ac:dyDescent="0.35">
      <c r="A662" t="s">
        <v>333</v>
      </c>
      <c r="B662" s="1" t="b">
        <f t="shared" si="70"/>
        <v>0</v>
      </c>
      <c r="C662" s="1" t="str">
        <f t="shared" si="71"/>
        <v>2025‑12‑12</v>
      </c>
      <c r="D662">
        <f t="shared" si="72"/>
        <v>0</v>
      </c>
      <c r="E662" t="str">
        <f t="shared" si="73"/>
        <v>Recs:</v>
      </c>
      <c r="F662" t="str">
        <f t="shared" si="74"/>
        <v>COIN - Coinbase Global Inc (crypto‑equity trading interest rising)TS2 Tech</v>
      </c>
      <c r="G662" t="str">
        <f t="shared" si="75"/>
        <v>CVX - Chevron Corp (analyst forecasts and capex catalyst)TS2 Tech</v>
      </c>
      <c r="H662" t="str">
        <f t="shared" si="69"/>
        <v>CRON - Cronos Group Inc (cannabis sector buzz on rescheduling)TS2 Tech</v>
      </c>
    </row>
    <row r="663" spans="1:8" x14ac:dyDescent="0.35">
      <c r="B663" s="1" t="b">
        <f t="shared" si="70"/>
        <v>0</v>
      </c>
      <c r="C663" s="1" t="str">
        <f t="shared" si="71"/>
        <v>2025‑12‑12</v>
      </c>
      <c r="D663" t="str">
        <f t="shared" si="72"/>
        <v>Recs:</v>
      </c>
      <c r="E663" t="str">
        <f t="shared" si="73"/>
        <v>COIN - Coinbase Global Inc (crypto‑equity trading interest rising)TS2 Tech</v>
      </c>
      <c r="F663" t="str">
        <f t="shared" si="74"/>
        <v>CVX - Chevron Corp (analyst forecasts and capex catalyst)TS2 Tech</v>
      </c>
      <c r="G663" t="str">
        <f t="shared" si="75"/>
        <v>CRON - Cronos Group Inc (cannabis sector buzz on rescheduling)TS2 Tech</v>
      </c>
      <c r="H663" t="str">
        <f t="shared" si="69"/>
        <v>INTU - Intuit Inc (AI and targets ahead of earnings)TS2 Tech</v>
      </c>
    </row>
    <row r="664" spans="1:8" x14ac:dyDescent="0.35">
      <c r="A664" s="2" t="s">
        <v>334</v>
      </c>
      <c r="B664" s="1" t="b">
        <f t="shared" si="70"/>
        <v>1</v>
      </c>
      <c r="C664" s="1" t="str">
        <f t="shared" si="71"/>
        <v>2025‑12‑13</v>
      </c>
      <c r="D664" t="str">
        <f t="shared" si="72"/>
        <v>COIN - Coinbase Global Inc (crypto‑equity trading interest rising)TS2 Tech</v>
      </c>
      <c r="E664" t="str">
        <f t="shared" si="73"/>
        <v>CVX - Chevron Corp (analyst forecasts and capex catalyst)TS2 Tech</v>
      </c>
      <c r="F664" t="str">
        <f t="shared" si="74"/>
        <v>CRON - Cronos Group Inc (cannabis sector buzz on rescheduling)TS2 Tech</v>
      </c>
      <c r="G664" t="str">
        <f t="shared" si="75"/>
        <v>INTU - Intuit Inc (AI and targets ahead of earnings)TS2 Tech</v>
      </c>
      <c r="H664" t="str">
        <f t="shared" si="69"/>
        <v>ALNT - Allient Corp (bullish industrial tech signal)Investors</v>
      </c>
    </row>
    <row r="665" spans="1:8" x14ac:dyDescent="0.35">
      <c r="B665" s="1" t="b">
        <f t="shared" si="70"/>
        <v>0</v>
      </c>
      <c r="C665" s="1" t="str">
        <f t="shared" si="71"/>
        <v>2025‑12‑13</v>
      </c>
      <c r="D665" t="str">
        <f t="shared" si="72"/>
        <v>CVX - Chevron Corp (analyst forecasts and capex catalyst)TS2 Tech</v>
      </c>
      <c r="E665" t="str">
        <f t="shared" si="73"/>
        <v>CRON - Cronos Group Inc (cannabis sector buzz on rescheduling)TS2 Tech</v>
      </c>
      <c r="F665" t="str">
        <f t="shared" si="74"/>
        <v>INTU - Intuit Inc (AI and targets ahead of earnings)TS2 Tech</v>
      </c>
      <c r="G665" t="str">
        <f t="shared" si="75"/>
        <v>ALNT - Allient Corp (bullish industrial tech signal)Investors</v>
      </c>
      <c r="H665">
        <f t="shared" si="69"/>
        <v>0</v>
      </c>
    </row>
    <row r="666" spans="1:8" x14ac:dyDescent="0.35">
      <c r="A666" t="s">
        <v>1</v>
      </c>
      <c r="B666" s="1" t="b">
        <f t="shared" si="70"/>
        <v>0</v>
      </c>
      <c r="C666" s="1" t="str">
        <f t="shared" si="71"/>
        <v>2025‑12‑13</v>
      </c>
      <c r="D666" t="str">
        <f t="shared" si="72"/>
        <v>CRON - Cronos Group Inc (cannabis sector buzz on rescheduling)TS2 Tech</v>
      </c>
      <c r="E666" t="str">
        <f t="shared" si="73"/>
        <v>INTU - Intuit Inc (AI and targets ahead of earnings)TS2 Tech</v>
      </c>
      <c r="F666" t="str">
        <f t="shared" si="74"/>
        <v>ALNT - Allient Corp (bullish industrial tech signal)Investors</v>
      </c>
      <c r="G666">
        <f t="shared" si="75"/>
        <v>0</v>
      </c>
      <c r="H666" t="str">
        <f t="shared" si="69"/>
        <v>Prev days return S&amp;P500 ‑1.07%investing.com</v>
      </c>
    </row>
    <row r="667" spans="1:8" x14ac:dyDescent="0.35">
      <c r="A667" t="s">
        <v>335</v>
      </c>
      <c r="B667" s="1" t="b">
        <f t="shared" si="70"/>
        <v>0</v>
      </c>
      <c r="C667" s="1" t="str">
        <f t="shared" si="71"/>
        <v>2025‑12‑13</v>
      </c>
      <c r="D667" t="str">
        <f t="shared" si="72"/>
        <v>INTU - Intuit Inc (AI and targets ahead of earnings)TS2 Tech</v>
      </c>
      <c r="E667" t="str">
        <f t="shared" si="73"/>
        <v>ALNT - Allient Corp (bullish industrial tech signal)Investors</v>
      </c>
      <c r="F667">
        <f t="shared" si="74"/>
        <v>0</v>
      </c>
      <c r="G667" t="str">
        <f t="shared" si="75"/>
        <v>Prev days return S&amp;P500 ‑1.07%investing.com</v>
      </c>
      <c r="H667">
        <f t="shared" si="69"/>
        <v>0</v>
      </c>
    </row>
    <row r="668" spans="1:8" x14ac:dyDescent="0.35">
      <c r="A668" t="s">
        <v>336</v>
      </c>
      <c r="B668" s="1" t="b">
        <f t="shared" si="70"/>
        <v>0</v>
      </c>
      <c r="C668" s="1" t="str">
        <f t="shared" si="71"/>
        <v>2025‑12‑13</v>
      </c>
      <c r="D668" t="str">
        <f t="shared" si="72"/>
        <v>ALNT - Allient Corp (bullish industrial tech signal)Investors</v>
      </c>
      <c r="E668">
        <f t="shared" si="73"/>
        <v>0</v>
      </c>
      <c r="F668" t="str">
        <f t="shared" si="74"/>
        <v>Prev days return S&amp;P500 ‑1.07%investing.com</v>
      </c>
      <c r="G668">
        <f t="shared" si="75"/>
        <v>0</v>
      </c>
      <c r="H668" t="str">
        <f t="shared" si="69"/>
        <v>2025‑12‑14 / 08:15 - Sunday</v>
      </c>
    </row>
    <row r="669" spans="1:8" x14ac:dyDescent="0.35">
      <c r="A669" t="s">
        <v>337</v>
      </c>
      <c r="B669" s="1" t="b">
        <f t="shared" si="70"/>
        <v>0</v>
      </c>
      <c r="C669" s="1" t="str">
        <f t="shared" si="71"/>
        <v>2025‑12‑13</v>
      </c>
      <c r="D669">
        <f t="shared" si="72"/>
        <v>0</v>
      </c>
      <c r="E669" t="str">
        <f t="shared" si="73"/>
        <v>Prev days return S&amp;P500 ‑1.07%investing.com</v>
      </c>
      <c r="F669">
        <f t="shared" si="74"/>
        <v>0</v>
      </c>
      <c r="G669" t="str">
        <f t="shared" si="75"/>
        <v>2025‑12‑14 / 08:15 - Sunday</v>
      </c>
      <c r="H669">
        <f t="shared" si="69"/>
        <v>0</v>
      </c>
    </row>
    <row r="670" spans="1:8" x14ac:dyDescent="0.35">
      <c r="A670" t="s">
        <v>338</v>
      </c>
      <c r="B670" s="1" t="b">
        <f t="shared" si="70"/>
        <v>0</v>
      </c>
      <c r="C670" s="1" t="str">
        <f t="shared" si="71"/>
        <v>2025‑12‑13</v>
      </c>
      <c r="D670" t="str">
        <f t="shared" si="72"/>
        <v>Prev days return S&amp;P500 ‑1.07%investing.com</v>
      </c>
      <c r="E670">
        <f t="shared" si="73"/>
        <v>0</v>
      </c>
      <c r="F670" t="str">
        <f t="shared" si="74"/>
        <v>2025‑12‑14 / 08:15 - Sunday</v>
      </c>
      <c r="G670">
        <f t="shared" si="75"/>
        <v>0</v>
      </c>
      <c r="H670" t="str">
        <f t="shared" si="69"/>
        <v>Recs:</v>
      </c>
    </row>
    <row r="671" spans="1:8" x14ac:dyDescent="0.35">
      <c r="A671" t="s">
        <v>339</v>
      </c>
      <c r="B671" s="1" t="b">
        <f t="shared" si="70"/>
        <v>0</v>
      </c>
      <c r="C671" s="1" t="str">
        <f t="shared" si="71"/>
        <v>2025‑12‑13</v>
      </c>
      <c r="D671">
        <f t="shared" si="72"/>
        <v>0</v>
      </c>
      <c r="E671" t="str">
        <f t="shared" si="73"/>
        <v>2025‑12‑14 / 08:15 - Sunday</v>
      </c>
      <c r="F671">
        <f t="shared" si="74"/>
        <v>0</v>
      </c>
      <c r="G671" t="str">
        <f t="shared" si="75"/>
        <v>Recs:</v>
      </c>
      <c r="H671" t="str">
        <f t="shared" si="69"/>
        <v>TSLA - Tesla Inc (momentum from positive technical and product catalysts)Investors.com</v>
      </c>
    </row>
    <row r="672" spans="1:8" x14ac:dyDescent="0.35">
      <c r="B672" s="1" t="b">
        <f t="shared" si="70"/>
        <v>0</v>
      </c>
      <c r="C672" s="1" t="str">
        <f t="shared" si="71"/>
        <v>2025‑12‑13</v>
      </c>
      <c r="D672" t="str">
        <f t="shared" si="72"/>
        <v>2025‑12‑14 / 08:15 - Sunday</v>
      </c>
      <c r="E672">
        <f t="shared" si="73"/>
        <v>0</v>
      </c>
      <c r="F672" t="str">
        <f t="shared" si="74"/>
        <v>Recs:</v>
      </c>
      <c r="G672" t="str">
        <f t="shared" si="75"/>
        <v>TSLA - Tesla Inc (momentum from positive technical and product catalysts)Investors.com</v>
      </c>
      <c r="H672" t="str">
        <f t="shared" si="69"/>
        <v>GE - GE Aerospace (industrial strength and near buy point on recent flow)Investors.com</v>
      </c>
    </row>
    <row r="673" spans="1:8" x14ac:dyDescent="0.35">
      <c r="A673" t="s">
        <v>340</v>
      </c>
      <c r="B673" s="1" t="b">
        <f t="shared" si="70"/>
        <v>0</v>
      </c>
      <c r="C673" s="1" t="str">
        <f t="shared" si="71"/>
        <v>2025‑12‑13</v>
      </c>
      <c r="D673">
        <f t="shared" si="72"/>
        <v>0</v>
      </c>
      <c r="E673" t="str">
        <f t="shared" si="73"/>
        <v>Recs:</v>
      </c>
      <c r="F673" t="str">
        <f t="shared" si="74"/>
        <v>TSLA - Tesla Inc (momentum from positive technical and product catalysts)Investors.com</v>
      </c>
      <c r="G673" t="str">
        <f t="shared" si="75"/>
        <v>GE - GE Aerospace (industrial strength and near buy point on recent flow)Investors.com</v>
      </c>
      <c r="H673" t="str">
        <f t="shared" si="69"/>
        <v>LLY - Eli Lilly &amp; Co (healthcare resilience and data‑driven upside)Investors.com</v>
      </c>
    </row>
    <row r="674" spans="1:8" x14ac:dyDescent="0.35">
      <c r="B674" s="1" t="b">
        <f t="shared" si="70"/>
        <v>0</v>
      </c>
      <c r="C674" s="1" t="str">
        <f t="shared" si="71"/>
        <v>2025‑12‑13</v>
      </c>
      <c r="D674" t="str">
        <f t="shared" si="72"/>
        <v>Recs:</v>
      </c>
      <c r="E674" t="str">
        <f t="shared" si="73"/>
        <v>TSLA - Tesla Inc (momentum from positive technical and product catalysts)Investors.com</v>
      </c>
      <c r="F674" t="str">
        <f t="shared" si="74"/>
        <v>GE - GE Aerospace (industrial strength and near buy point on recent flow)Investors.com</v>
      </c>
      <c r="G674" t="str">
        <f t="shared" si="75"/>
        <v>LLY - Eli Lilly &amp; Co (healthcare resilience and data‑driven upside)Investors.com</v>
      </c>
      <c r="H674" t="str">
        <f t="shared" si="69"/>
        <v>JPM - JPMorgan Chase &amp; Co (financials strength amid rotation)Investors.com</v>
      </c>
    </row>
    <row r="675" spans="1:8" x14ac:dyDescent="0.35">
      <c r="A675" s="2" t="s">
        <v>341</v>
      </c>
      <c r="B675" s="1" t="b">
        <f t="shared" si="70"/>
        <v>1</v>
      </c>
      <c r="C675" s="1" t="str">
        <f t="shared" si="71"/>
        <v>2025‑12‑14</v>
      </c>
      <c r="D675" t="str">
        <f t="shared" si="72"/>
        <v>TSLA - Tesla Inc (momentum from positive technical and product catalysts)Investors.com</v>
      </c>
      <c r="E675" t="str">
        <f t="shared" si="73"/>
        <v>GE - GE Aerospace (industrial strength and near buy point on recent flow)Investors.com</v>
      </c>
      <c r="F675" t="str">
        <f t="shared" si="74"/>
        <v>LLY - Eli Lilly &amp; Co (healthcare resilience and data‑driven upside)Investors.com</v>
      </c>
      <c r="G675" t="str">
        <f t="shared" si="75"/>
        <v>JPM - JPMorgan Chase &amp; Co (financials strength amid rotation)Investors.com</v>
      </c>
      <c r="H675" t="str">
        <f t="shared" si="69"/>
        <v>WBD - Warner Bros Discovery (takeover bid driving elevated activity)The Guardian</v>
      </c>
    </row>
    <row r="676" spans="1:8" x14ac:dyDescent="0.35">
      <c r="B676" s="1" t="b">
        <f t="shared" si="70"/>
        <v>0</v>
      </c>
      <c r="C676" s="1" t="str">
        <f t="shared" si="71"/>
        <v>2025‑12‑14</v>
      </c>
      <c r="D676" t="str">
        <f t="shared" si="72"/>
        <v>GE - GE Aerospace (industrial strength and near buy point on recent flow)Investors.com</v>
      </c>
      <c r="E676" t="str">
        <f t="shared" si="73"/>
        <v>LLY - Eli Lilly &amp; Co (healthcare resilience and data‑driven upside)Investors.com</v>
      </c>
      <c r="F676" t="str">
        <f t="shared" si="74"/>
        <v>JPM - JPMorgan Chase &amp; Co (financials strength amid rotation)Investors.com</v>
      </c>
      <c r="G676" t="str">
        <f t="shared" si="75"/>
        <v>WBD - Warner Bros Discovery (takeover bid driving elevated activity)The Guardian</v>
      </c>
      <c r="H676">
        <f t="shared" si="69"/>
        <v>0</v>
      </c>
    </row>
    <row r="677" spans="1:8" x14ac:dyDescent="0.35">
      <c r="A677" t="s">
        <v>1</v>
      </c>
      <c r="B677" s="1" t="b">
        <f t="shared" si="70"/>
        <v>0</v>
      </c>
      <c r="C677" s="1" t="str">
        <f t="shared" si="71"/>
        <v>2025‑12‑14</v>
      </c>
      <c r="D677" t="str">
        <f t="shared" si="72"/>
        <v>LLY - Eli Lilly &amp; Co (healthcare resilience and data‑driven upside)Investors.com</v>
      </c>
      <c r="E677" t="str">
        <f t="shared" si="73"/>
        <v>JPM - JPMorgan Chase &amp; Co (financials strength amid rotation)Investors.com</v>
      </c>
      <c r="F677" t="str">
        <f t="shared" si="74"/>
        <v>WBD - Warner Bros Discovery (takeover bid driving elevated activity)The Guardian</v>
      </c>
      <c r="G677">
        <f t="shared" si="75"/>
        <v>0</v>
      </c>
      <c r="H677" t="str">
        <f t="shared" si="69"/>
        <v>Prev days return S&amp;P500 ‑1.07%reuters.com</v>
      </c>
    </row>
    <row r="678" spans="1:8" x14ac:dyDescent="0.35">
      <c r="A678" t="s">
        <v>342</v>
      </c>
      <c r="B678" s="1" t="b">
        <f t="shared" si="70"/>
        <v>0</v>
      </c>
      <c r="C678" s="1" t="str">
        <f t="shared" si="71"/>
        <v>2025‑12‑14</v>
      </c>
      <c r="D678" t="str">
        <f t="shared" si="72"/>
        <v>JPM - JPMorgan Chase &amp; Co (financials strength amid rotation)Investors.com</v>
      </c>
      <c r="E678" t="str">
        <f t="shared" si="73"/>
        <v>WBD - Warner Bros Discovery (takeover bid driving elevated activity)The Guardian</v>
      </c>
      <c r="F678">
        <f t="shared" si="74"/>
        <v>0</v>
      </c>
      <c r="G678" t="str">
        <f t="shared" si="75"/>
        <v>Prev days return S&amp;P500 ‑1.07%reuters.com</v>
      </c>
      <c r="H678">
        <f t="shared" si="69"/>
        <v>0</v>
      </c>
    </row>
    <row r="679" spans="1:8" x14ac:dyDescent="0.35">
      <c r="A679" t="s">
        <v>343</v>
      </c>
      <c r="B679" s="1" t="b">
        <f t="shared" si="70"/>
        <v>0</v>
      </c>
      <c r="C679" s="1" t="str">
        <f t="shared" si="71"/>
        <v>2025‑12‑14</v>
      </c>
      <c r="D679" t="str">
        <f t="shared" si="72"/>
        <v>WBD - Warner Bros Discovery (takeover bid driving elevated activity)The Guardian</v>
      </c>
      <c r="E679">
        <f t="shared" si="73"/>
        <v>0</v>
      </c>
      <c r="F679" t="str">
        <f t="shared" si="74"/>
        <v>Prev days return S&amp;P500 ‑1.07%reuters.com</v>
      </c>
      <c r="G679">
        <f t="shared" si="75"/>
        <v>0</v>
      </c>
      <c r="H679" t="str">
        <f t="shared" si="69"/>
        <v>2025-12-15 / 08:15 - Monday</v>
      </c>
    </row>
    <row r="680" spans="1:8" x14ac:dyDescent="0.35">
      <c r="A680" t="s">
        <v>344</v>
      </c>
      <c r="B680" s="1" t="b">
        <f t="shared" si="70"/>
        <v>0</v>
      </c>
      <c r="C680" s="1" t="str">
        <f t="shared" si="71"/>
        <v>2025‑12‑14</v>
      </c>
      <c r="D680">
        <f t="shared" si="72"/>
        <v>0</v>
      </c>
      <c r="E680" t="str">
        <f t="shared" si="73"/>
        <v>Prev days return S&amp;P500 ‑1.07%reuters.com</v>
      </c>
      <c r="F680">
        <f t="shared" si="74"/>
        <v>0</v>
      </c>
      <c r="G680" t="str">
        <f t="shared" si="75"/>
        <v>2025-12-15 / 08:15 - Monday</v>
      </c>
      <c r="H680">
        <f t="shared" si="69"/>
        <v>0</v>
      </c>
    </row>
    <row r="681" spans="1:8" x14ac:dyDescent="0.35">
      <c r="A681" t="s">
        <v>345</v>
      </c>
      <c r="B681" s="1" t="b">
        <f t="shared" si="70"/>
        <v>0</v>
      </c>
      <c r="C681" s="1" t="str">
        <f t="shared" si="71"/>
        <v>2025‑12‑14</v>
      </c>
      <c r="D681" t="str">
        <f t="shared" si="72"/>
        <v>Prev days return S&amp;P500 ‑1.07%reuters.com</v>
      </c>
      <c r="E681">
        <f t="shared" si="73"/>
        <v>0</v>
      </c>
      <c r="F681" t="str">
        <f t="shared" si="74"/>
        <v>2025-12-15 / 08:15 - Monday</v>
      </c>
      <c r="G681">
        <f t="shared" si="75"/>
        <v>0</v>
      </c>
      <c r="H681" t="str">
        <f t="shared" si="69"/>
        <v>Recs:</v>
      </c>
    </row>
    <row r="682" spans="1:8" x14ac:dyDescent="0.35">
      <c r="A682" t="s">
        <v>346</v>
      </c>
      <c r="B682" s="1" t="b">
        <f t="shared" si="70"/>
        <v>0</v>
      </c>
      <c r="C682" s="1" t="str">
        <f t="shared" si="71"/>
        <v>2025‑12‑14</v>
      </c>
      <c r="D682">
        <f t="shared" si="72"/>
        <v>0</v>
      </c>
      <c r="E682" t="str">
        <f t="shared" si="73"/>
        <v>2025-12-15 / 08:15 - Monday</v>
      </c>
      <c r="F682">
        <f t="shared" si="74"/>
        <v>0</v>
      </c>
      <c r="G682" t="str">
        <f t="shared" si="75"/>
        <v>Recs:</v>
      </c>
      <c r="H682" t="str">
        <f t="shared" si="69"/>
        <v>BAC – Bank of America Corp (record highs and Fed rate cut narrative driving financial flows) TechStock²</v>
      </c>
    </row>
    <row r="683" spans="1:8" x14ac:dyDescent="0.35">
      <c r="B683" s="1" t="b">
        <f t="shared" si="70"/>
        <v>0</v>
      </c>
      <c r="C683" s="1" t="str">
        <f t="shared" si="71"/>
        <v>2025‑12‑14</v>
      </c>
      <c r="D683" t="str">
        <f t="shared" si="72"/>
        <v>2025-12-15 / 08:15 - Monday</v>
      </c>
      <c r="E683">
        <f t="shared" si="73"/>
        <v>0</v>
      </c>
      <c r="F683" t="str">
        <f t="shared" si="74"/>
        <v>Recs:</v>
      </c>
      <c r="G683" t="str">
        <f t="shared" si="75"/>
        <v>BAC – Bank of America Corp (record highs and Fed rate cut narrative driving financial flows) TechStock²</v>
      </c>
      <c r="H683" t="str">
        <f t="shared" si="69"/>
        <v>WBD – Warner Bros Discovery (takeover battle boosting share activity) The Guardian+1</v>
      </c>
    </row>
    <row r="684" spans="1:8" x14ac:dyDescent="0.35">
      <c r="A684" t="s">
        <v>347</v>
      </c>
      <c r="B684" s="1" t="b">
        <f t="shared" si="70"/>
        <v>0</v>
      </c>
      <c r="C684" s="1" t="str">
        <f t="shared" si="71"/>
        <v>2025‑12‑14</v>
      </c>
      <c r="D684">
        <f t="shared" si="72"/>
        <v>0</v>
      </c>
      <c r="E684" t="str">
        <f t="shared" si="73"/>
        <v>Recs:</v>
      </c>
      <c r="F684" t="str">
        <f t="shared" si="74"/>
        <v>BAC – Bank of America Corp (record highs and Fed rate cut narrative driving financial flows) TechStock²</v>
      </c>
      <c r="G684" t="str">
        <f t="shared" si="75"/>
        <v>WBD – Warner Bros Discovery (takeover battle boosting share activity) The Guardian+1</v>
      </c>
      <c r="H684" t="str">
        <f t="shared" si="69"/>
        <v>IBM – International Business Machines (acquisition news lifting tech sentiment) Barron's</v>
      </c>
    </row>
    <row r="685" spans="1:8" x14ac:dyDescent="0.35">
      <c r="B685" s="1" t="b">
        <f t="shared" si="70"/>
        <v>0</v>
      </c>
      <c r="C685" s="1" t="str">
        <f t="shared" si="71"/>
        <v>2025‑12‑14</v>
      </c>
      <c r="D685" t="str">
        <f t="shared" si="72"/>
        <v>Recs:</v>
      </c>
      <c r="E685" t="str">
        <f t="shared" si="73"/>
        <v>BAC – Bank of America Corp (record highs and Fed rate cut narrative driving financial flows) TechStock²</v>
      </c>
      <c r="F685" t="str">
        <f t="shared" si="74"/>
        <v>WBD – Warner Bros Discovery (takeover battle boosting share activity) The Guardian+1</v>
      </c>
      <c r="G685" t="str">
        <f t="shared" si="75"/>
        <v>IBM – International Business Machines (acquisition news lifting tech sentiment) Barron's</v>
      </c>
      <c r="H685" t="str">
        <f t="shared" si="69"/>
        <v>COIN – Coinbase Global Inc (crypto-linked equities moving with Bitcoin strength) Barron's</v>
      </c>
    </row>
    <row r="686" spans="1:8" x14ac:dyDescent="0.35">
      <c r="A686" s="2" t="s">
        <v>348</v>
      </c>
      <c r="B686" s="1" t="b">
        <f t="shared" si="70"/>
        <v>1</v>
      </c>
      <c r="C686" s="1" t="str">
        <f t="shared" si="71"/>
        <v>2025-12-15</v>
      </c>
      <c r="D686" t="str">
        <f t="shared" si="72"/>
        <v>BAC – Bank of America Corp (record highs and Fed rate cut narrative driving financial flows) TechStock²</v>
      </c>
      <c r="E686" t="str">
        <f t="shared" si="73"/>
        <v>WBD – Warner Bros Discovery (takeover battle boosting share activity) The Guardian+1</v>
      </c>
      <c r="F686" t="str">
        <f t="shared" si="74"/>
        <v>IBM – International Business Machines (acquisition news lifting tech sentiment) Barron's</v>
      </c>
      <c r="G686" t="str">
        <f t="shared" si="75"/>
        <v>COIN – Coinbase Global Inc (crypto-linked equities moving with Bitcoin strength) Barron's</v>
      </c>
      <c r="H686" t="str">
        <f>A693</f>
        <v>CRH – CRH plc (S&amp;P 500 inclusion announcement lifting name) Barron's</v>
      </c>
    </row>
    <row r="687" spans="1:8" x14ac:dyDescent="0.35">
      <c r="B687" s="1" t="b">
        <f t="shared" si="70"/>
        <v>0</v>
      </c>
      <c r="C687" s="1" t="str">
        <f t="shared" si="71"/>
        <v>2025-12-15</v>
      </c>
      <c r="D687" t="str">
        <f t="shared" si="72"/>
        <v>WBD – Warner Bros Discovery (takeover battle boosting share activity) The Guardian+1</v>
      </c>
      <c r="E687" t="str">
        <f t="shared" si="73"/>
        <v>IBM – International Business Machines (acquisition news lifting tech sentiment) Barron's</v>
      </c>
      <c r="F687" t="str">
        <f t="shared" si="74"/>
        <v>COIN – Coinbase Global Inc (crypto-linked equities moving with Bitcoin strength) Barron's</v>
      </c>
      <c r="G687" t="str">
        <f t="shared" si="75"/>
        <v>CRH – CRH plc (S&amp;P 500 inclusion announcement lifting name) Barron's</v>
      </c>
      <c r="H687">
        <f t="shared" ref="H687:H695" si="76">A694</f>
        <v>0</v>
      </c>
    </row>
    <row r="688" spans="1:8" x14ac:dyDescent="0.35">
      <c r="A688" t="s">
        <v>1</v>
      </c>
      <c r="B688" s="1" t="b">
        <f t="shared" si="70"/>
        <v>0</v>
      </c>
      <c r="C688" s="1" t="str">
        <f t="shared" si="71"/>
        <v>2025-12-15</v>
      </c>
      <c r="D688" t="str">
        <f t="shared" si="72"/>
        <v>IBM – International Business Machines (acquisition news lifting tech sentiment) Barron's</v>
      </c>
      <c r="E688" t="str">
        <f t="shared" si="73"/>
        <v>COIN – Coinbase Global Inc (crypto-linked equities moving with Bitcoin strength) Barron's</v>
      </c>
      <c r="F688" t="str">
        <f t="shared" si="74"/>
        <v>CRH – CRH plc (S&amp;P 500 inclusion announcement lifting name) Barron's</v>
      </c>
      <c r="G688">
        <f t="shared" si="75"/>
        <v>0</v>
      </c>
      <c r="H688" t="str">
        <f t="shared" si="76"/>
        <v>Prev days return S&amp;P500 -1.07</v>
      </c>
    </row>
    <row r="689" spans="1:8" x14ac:dyDescent="0.35">
      <c r="A689" t="s">
        <v>349</v>
      </c>
      <c r="B689" s="1" t="b">
        <f t="shared" si="70"/>
        <v>0</v>
      </c>
      <c r="C689" s="1" t="str">
        <f t="shared" si="71"/>
        <v>2025-12-15</v>
      </c>
      <c r="D689" t="str">
        <f t="shared" si="72"/>
        <v>COIN – Coinbase Global Inc (crypto-linked equities moving with Bitcoin strength) Barron's</v>
      </c>
      <c r="E689" t="str">
        <f t="shared" si="73"/>
        <v>CRH – CRH plc (S&amp;P 500 inclusion announcement lifting name) Barron's</v>
      </c>
      <c r="F689">
        <f t="shared" si="74"/>
        <v>0</v>
      </c>
      <c r="G689" t="str">
        <f t="shared" si="75"/>
        <v>Prev days return S&amp;P500 -1.07</v>
      </c>
      <c r="H689">
        <f t="shared" si="76"/>
        <v>0</v>
      </c>
    </row>
    <row r="690" spans="1:8" x14ac:dyDescent="0.35">
      <c r="A690" t="s">
        <v>350</v>
      </c>
      <c r="B690" s="1" t="b">
        <f t="shared" si="70"/>
        <v>0</v>
      </c>
      <c r="C690" s="1" t="str">
        <f t="shared" si="71"/>
        <v>2025-12-15</v>
      </c>
      <c r="D690" t="str">
        <f t="shared" si="72"/>
        <v>CRH – CRH plc (S&amp;P 500 inclusion announcement lifting name) Barron's</v>
      </c>
      <c r="E690">
        <f t="shared" si="73"/>
        <v>0</v>
      </c>
      <c r="F690" t="str">
        <f t="shared" si="74"/>
        <v>Prev days return S&amp;P500 -1.07</v>
      </c>
      <c r="G690">
        <f t="shared" si="75"/>
        <v>0</v>
      </c>
      <c r="H690">
        <f t="shared" si="76"/>
        <v>0</v>
      </c>
    </row>
    <row r="691" spans="1:8" x14ac:dyDescent="0.35">
      <c r="A691" t="s">
        <v>351</v>
      </c>
      <c r="B691" s="1" t="b">
        <f t="shared" si="70"/>
        <v>0</v>
      </c>
      <c r="C691" s="1" t="str">
        <f t="shared" si="71"/>
        <v>2025-12-15</v>
      </c>
      <c r="D691">
        <f t="shared" si="72"/>
        <v>0</v>
      </c>
      <c r="E691" t="str">
        <f t="shared" si="73"/>
        <v>Prev days return S&amp;P500 -1.07</v>
      </c>
      <c r="F691">
        <f t="shared" si="74"/>
        <v>0</v>
      </c>
      <c r="G691">
        <f t="shared" si="75"/>
        <v>0</v>
      </c>
      <c r="H691">
        <f t="shared" si="76"/>
        <v>0</v>
      </c>
    </row>
    <row r="692" spans="1:8" x14ac:dyDescent="0.35">
      <c r="A692" t="s">
        <v>352</v>
      </c>
      <c r="B692" s="1" t="b">
        <f t="shared" si="70"/>
        <v>0</v>
      </c>
      <c r="C692" s="1" t="str">
        <f t="shared" si="71"/>
        <v>2025-12-15</v>
      </c>
      <c r="D692" t="str">
        <f t="shared" si="72"/>
        <v>Prev days return S&amp;P500 -1.07</v>
      </c>
      <c r="E692">
        <f t="shared" si="73"/>
        <v>0</v>
      </c>
      <c r="F692">
        <f t="shared" si="74"/>
        <v>0</v>
      </c>
      <c r="G692">
        <f t="shared" si="75"/>
        <v>0</v>
      </c>
      <c r="H692">
        <f t="shared" si="76"/>
        <v>0</v>
      </c>
    </row>
    <row r="693" spans="1:8" x14ac:dyDescent="0.35">
      <c r="A693" t="s">
        <v>353</v>
      </c>
      <c r="B693" s="1" t="b">
        <f t="shared" si="70"/>
        <v>0</v>
      </c>
      <c r="C693" s="1" t="str">
        <f t="shared" si="71"/>
        <v>2025-12-15</v>
      </c>
      <c r="D693">
        <f t="shared" si="72"/>
        <v>0</v>
      </c>
      <c r="E693">
        <f t="shared" si="73"/>
        <v>0</v>
      </c>
      <c r="F693">
        <f t="shared" si="74"/>
        <v>0</v>
      </c>
      <c r="G693">
        <f t="shared" si="75"/>
        <v>0</v>
      </c>
      <c r="H693">
        <f t="shared" si="76"/>
        <v>0</v>
      </c>
    </row>
    <row r="694" spans="1:8" x14ac:dyDescent="0.35">
      <c r="B694" s="1" t="b">
        <f t="shared" si="70"/>
        <v>0</v>
      </c>
      <c r="C694" s="1" t="str">
        <f t="shared" si="71"/>
        <v>2025-12-15</v>
      </c>
      <c r="D694">
        <f t="shared" si="72"/>
        <v>0</v>
      </c>
      <c r="E694">
        <f t="shared" si="73"/>
        <v>0</v>
      </c>
      <c r="F694">
        <f t="shared" si="74"/>
        <v>0</v>
      </c>
      <c r="G694">
        <f t="shared" si="75"/>
        <v>0</v>
      </c>
      <c r="H694">
        <f t="shared" si="76"/>
        <v>0</v>
      </c>
    </row>
    <row r="695" spans="1:8" x14ac:dyDescent="0.35">
      <c r="A695" t="s">
        <v>354</v>
      </c>
      <c r="B695" s="1" t="b">
        <f t="shared" si="70"/>
        <v>0</v>
      </c>
      <c r="C695" s="1" t="str">
        <f t="shared" si="71"/>
        <v>2025-12-15</v>
      </c>
      <c r="D695">
        <f t="shared" si="72"/>
        <v>0</v>
      </c>
      <c r="E695">
        <f t="shared" si="73"/>
        <v>0</v>
      </c>
      <c r="F695">
        <f t="shared" si="74"/>
        <v>0</v>
      </c>
      <c r="G695">
        <f t="shared" si="75"/>
        <v>0</v>
      </c>
      <c r="H695">
        <f t="shared" si="76"/>
        <v>0</v>
      </c>
    </row>
  </sheetData>
  <autoFilter ref="A1:H695" xr:uid="{DDE247FB-2293-459C-8305-EB832FAD2D73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D457-4122-40E7-BFD8-49BC056EB878}">
  <sheetPr>
    <tabColor theme="9" tint="0.39997558519241921"/>
  </sheetPr>
  <dimension ref="A1:F46"/>
  <sheetViews>
    <sheetView tabSelected="1" workbookViewId="0">
      <pane ySplit="1" topLeftCell="A2" activePane="bottomLeft" state="frozen"/>
      <selection activeCell="C21" sqref="C21"/>
      <selection pane="bottomLeft" activeCell="B14" sqref="B14"/>
    </sheetView>
  </sheetViews>
  <sheetFormatPr defaultRowHeight="14.5" x14ac:dyDescent="0.35"/>
  <cols>
    <col min="1" max="1" width="21.08984375" bestFit="1" customWidth="1"/>
    <col min="2" max="2" width="39.6328125" bestFit="1" customWidth="1"/>
    <col min="3" max="3" width="36.26953125" bestFit="1" customWidth="1"/>
    <col min="4" max="4" width="26.08984375" bestFit="1" customWidth="1"/>
    <col min="5" max="5" width="37.6328125" bestFit="1" customWidth="1"/>
    <col min="6" max="6" width="31.08984375" bestFit="1" customWidth="1"/>
  </cols>
  <sheetData>
    <row r="1" spans="1:6" x14ac:dyDescent="0.35">
      <c r="A1" t="s">
        <v>356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</row>
    <row r="2" spans="1:6" x14ac:dyDescent="0.35">
      <c r="A2" t="str">
        <f>'Sum and Cleaner'!$A$2</f>
        <v>2025-11-05 - Wednesday</v>
      </c>
      <c r="B2" t="s">
        <v>24</v>
      </c>
      <c r="C2" t="s">
        <v>36</v>
      </c>
      <c r="D2" t="s">
        <v>126</v>
      </c>
      <c r="E2" t="s">
        <v>169</v>
      </c>
      <c r="F2" t="s">
        <v>170</v>
      </c>
    </row>
    <row r="3" spans="1:6" x14ac:dyDescent="0.35">
      <c r="A3" t="str">
        <f>'Sum and Cleaner'!$A$18</f>
        <v>2025-11-06 - Thursday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</row>
    <row r="4" spans="1:6" x14ac:dyDescent="0.35">
      <c r="A4" t="str">
        <f>'Sum and Cleaner'!$A$28</f>
        <v>2025-11-07 - Friday</v>
      </c>
      <c r="B4" t="s">
        <v>80</v>
      </c>
      <c r="C4" t="s">
        <v>79</v>
      </c>
      <c r="D4" t="s">
        <v>81</v>
      </c>
      <c r="E4" t="s">
        <v>82</v>
      </c>
      <c r="F4" t="s">
        <v>84</v>
      </c>
    </row>
    <row r="5" spans="1:6" x14ac:dyDescent="0.35">
      <c r="A5" t="str">
        <f>'Sum and Cleaner'!$A$44</f>
        <v>2025-11-08 - Saturday</v>
      </c>
      <c r="B5" t="s">
        <v>91</v>
      </c>
      <c r="C5" t="s">
        <v>92</v>
      </c>
      <c r="D5" t="s">
        <v>93</v>
      </c>
      <c r="E5" t="s">
        <v>94</v>
      </c>
      <c r="F5" t="s">
        <v>38</v>
      </c>
    </row>
    <row r="6" spans="1:6" x14ac:dyDescent="0.35">
      <c r="A6" t="str">
        <f>'Sum and Cleaner'!$A$60</f>
        <v>2025-11-09 - Sunday</v>
      </c>
      <c r="B6" t="s">
        <v>91</v>
      </c>
      <c r="C6" t="s">
        <v>97</v>
      </c>
      <c r="D6" t="s">
        <v>98</v>
      </c>
      <c r="E6" t="s">
        <v>99</v>
      </c>
      <c r="F6" t="s">
        <v>100</v>
      </c>
    </row>
    <row r="7" spans="1:6" x14ac:dyDescent="0.35">
      <c r="A7" t="str">
        <f>'Sum and Cleaner'!$A$76</f>
        <v>2025-11-10 - Monday</v>
      </c>
      <c r="B7" t="s">
        <v>102</v>
      </c>
      <c r="C7" t="s">
        <v>103</v>
      </c>
      <c r="D7" t="s">
        <v>104</v>
      </c>
      <c r="E7" t="s">
        <v>105</v>
      </c>
      <c r="F7" t="s">
        <v>106</v>
      </c>
    </row>
    <row r="8" spans="1:6" x14ac:dyDescent="0.35">
      <c r="A8" t="str">
        <f>'Sum and Cleaner'!$A$91</f>
        <v>2025-10-23 - Thursday</v>
      </c>
      <c r="B8" t="s">
        <v>173</v>
      </c>
      <c r="C8" t="s">
        <v>174</v>
      </c>
      <c r="D8" t="s">
        <v>175</v>
      </c>
      <c r="E8" t="s">
        <v>176</v>
      </c>
      <c r="F8" t="s">
        <v>177</v>
      </c>
    </row>
    <row r="9" spans="1:6" x14ac:dyDescent="0.35">
      <c r="A9" t="str">
        <f>'Sum and Cleaner'!$A$107</f>
        <v>2025-10-24 - Friday</v>
      </c>
      <c r="B9" t="s">
        <v>186</v>
      </c>
      <c r="C9" t="s">
        <v>187</v>
      </c>
      <c r="D9" t="s">
        <v>177</v>
      </c>
      <c r="E9" t="s">
        <v>188</v>
      </c>
      <c r="F9" t="s">
        <v>189</v>
      </c>
    </row>
    <row r="10" spans="1:6" x14ac:dyDescent="0.35">
      <c r="A10" t="str">
        <f>'Sum and Cleaner'!$A$123</f>
        <v>2025-10-25 - Saturday</v>
      </c>
      <c r="B10" t="s">
        <v>12</v>
      </c>
      <c r="C10" t="s">
        <v>196</v>
      </c>
      <c r="D10" t="s">
        <v>197</v>
      </c>
      <c r="E10" t="s">
        <v>188</v>
      </c>
      <c r="F10" t="s">
        <v>186</v>
      </c>
    </row>
    <row r="11" spans="1:6" x14ac:dyDescent="0.35">
      <c r="A11" t="str">
        <f>'Sum and Cleaner'!$A$139</f>
        <v>2025-10-26 - Sunday</v>
      </c>
      <c r="B11" t="s">
        <v>36</v>
      </c>
      <c r="C11" t="s">
        <v>196</v>
      </c>
      <c r="D11" t="s">
        <v>188</v>
      </c>
      <c r="E11" t="s">
        <v>200</v>
      </c>
      <c r="F11" t="s">
        <v>37</v>
      </c>
    </row>
    <row r="12" spans="1:6" x14ac:dyDescent="0.35">
      <c r="A12" t="str">
        <f>'Sum and Cleaner'!$A$155</f>
        <v>2025-10-27 - Monday</v>
      </c>
      <c r="B12" t="s">
        <v>36</v>
      </c>
      <c r="C12" t="s">
        <v>196</v>
      </c>
      <c r="D12" t="s">
        <v>186</v>
      </c>
      <c r="E12" t="s">
        <v>202</v>
      </c>
      <c r="F12" t="s">
        <v>203</v>
      </c>
    </row>
    <row r="13" spans="1:6" x14ac:dyDescent="0.35">
      <c r="A13" t="str">
        <f>'Sum and Cleaner'!$A$171</f>
        <v>2025-10-28 - Tuesday</v>
      </c>
      <c r="B13" t="s">
        <v>36</v>
      </c>
      <c r="C13" t="s">
        <v>196</v>
      </c>
      <c r="D13" t="s">
        <v>212</v>
      </c>
      <c r="E13" t="s">
        <v>40</v>
      </c>
      <c r="F13" t="s">
        <v>186</v>
      </c>
    </row>
    <row r="14" spans="1:6" x14ac:dyDescent="0.35">
      <c r="A14" t="str">
        <f>'Sum and Cleaner'!$A$181</f>
        <v>2025-11-11 - Tuesday</v>
      </c>
      <c r="B14" t="s">
        <v>103</v>
      </c>
      <c r="C14" t="s">
        <v>104</v>
      </c>
      <c r="D14" t="s">
        <v>102</v>
      </c>
      <c r="E14" t="s">
        <v>105</v>
      </c>
      <c r="F14" t="s">
        <v>113</v>
      </c>
    </row>
    <row r="15" spans="1:6" x14ac:dyDescent="0.35">
      <c r="A15" t="str">
        <f>'Sum and Cleaner'!$A$197</f>
        <v>2025-11-12 - Wednesday</v>
      </c>
      <c r="B15" t="s">
        <v>103</v>
      </c>
      <c r="C15" t="s">
        <v>119</v>
      </c>
      <c r="D15" t="s">
        <v>102</v>
      </c>
      <c r="E15" t="s">
        <v>105</v>
      </c>
      <c r="F15" t="s">
        <v>113</v>
      </c>
    </row>
    <row r="16" spans="1:6" x14ac:dyDescent="0.35">
      <c r="A16" t="str">
        <f>'Sum and Cleaner'!$A$213</f>
        <v>2025-11-13 - Thursday</v>
      </c>
      <c r="B16" t="s">
        <v>126</v>
      </c>
      <c r="C16" t="s">
        <v>24</v>
      </c>
      <c r="D16" t="s">
        <v>127</v>
      </c>
      <c r="E16" t="s">
        <v>128</v>
      </c>
      <c r="F16" t="s">
        <v>129</v>
      </c>
    </row>
    <row r="17" spans="1:6" x14ac:dyDescent="0.35">
      <c r="A17" t="str">
        <f>'Sum and Cleaner'!$A$229</f>
        <v>2025-11-14 - Friday</v>
      </c>
      <c r="B17" t="s">
        <v>131</v>
      </c>
      <c r="C17" t="s">
        <v>126</v>
      </c>
      <c r="D17" t="s">
        <v>24</v>
      </c>
      <c r="E17" t="s">
        <v>132</v>
      </c>
      <c r="F17" t="s">
        <v>113</v>
      </c>
    </row>
    <row r="18" spans="1:6" x14ac:dyDescent="0.35">
      <c r="A18" t="str">
        <f>'Sum and Cleaner'!$A$245</f>
        <v>2025-11-15 - Saturday</v>
      </c>
      <c r="B18" t="s">
        <v>126</v>
      </c>
      <c r="C18" t="s">
        <v>24</v>
      </c>
      <c r="D18" t="s">
        <v>134</v>
      </c>
      <c r="E18" t="s">
        <v>135</v>
      </c>
      <c r="F18" t="s">
        <v>136</v>
      </c>
    </row>
    <row r="19" spans="1:6" x14ac:dyDescent="0.35">
      <c r="A19" t="str">
        <f>'Sum and Cleaner'!$A$261</f>
        <v>2025-11-16 - Sunday</v>
      </c>
      <c r="B19" t="s">
        <v>142</v>
      </c>
      <c r="C19" t="s">
        <v>143</v>
      </c>
      <c r="D19" t="s">
        <v>126</v>
      </c>
      <c r="E19" t="s">
        <v>24</v>
      </c>
      <c r="F19" t="s">
        <v>144</v>
      </c>
    </row>
    <row r="20" spans="1:6" x14ac:dyDescent="0.35">
      <c r="A20" t="str">
        <f>'Sum and Cleaner'!$A$277</f>
        <v>2025-11-17 - Monday</v>
      </c>
      <c r="B20" t="s">
        <v>36</v>
      </c>
      <c r="C20" t="s">
        <v>153</v>
      </c>
      <c r="D20" t="s">
        <v>154</v>
      </c>
      <c r="E20" t="s">
        <v>155</v>
      </c>
      <c r="F20" t="s">
        <v>156</v>
      </c>
    </row>
    <row r="21" spans="1:6" x14ac:dyDescent="0.35">
      <c r="A21" t="str">
        <f>'Sum and Cleaner'!$A$293</f>
        <v>2025-11-18 - Tuesday</v>
      </c>
      <c r="B21" t="s">
        <v>36</v>
      </c>
      <c r="C21" t="s">
        <v>153</v>
      </c>
      <c r="D21" t="s">
        <v>154</v>
      </c>
    </row>
    <row r="22" spans="1:6" x14ac:dyDescent="0.35">
      <c r="A22" t="str">
        <f>'Sum and Cleaner'!$A$298</f>
        <v>2025-10-14 - Tuesday</v>
      </c>
      <c r="B22" t="s">
        <v>3</v>
      </c>
      <c r="C22" t="s">
        <v>81</v>
      </c>
      <c r="D22" t="s">
        <v>5</v>
      </c>
      <c r="E22" t="s">
        <v>265</v>
      </c>
      <c r="F22" t="s">
        <v>266</v>
      </c>
    </row>
    <row r="23" spans="1:6" x14ac:dyDescent="0.35">
      <c r="A23" t="str">
        <f>'Sum and Cleaner'!$A$313</f>
        <v>2025-10-16 - Thursday</v>
      </c>
      <c r="B23" t="s">
        <v>274</v>
      </c>
      <c r="C23" t="s">
        <v>275</v>
      </c>
      <c r="D23" t="s">
        <v>276</v>
      </c>
      <c r="E23" t="s">
        <v>277</v>
      </c>
      <c r="F23" t="s">
        <v>278</v>
      </c>
    </row>
    <row r="24" spans="1:6" x14ac:dyDescent="0.35">
      <c r="A24" t="str">
        <f>'Sum and Cleaner'!$A$328</f>
        <v>2025-10-18 - Saturday</v>
      </c>
      <c r="B24" t="s">
        <v>286</v>
      </c>
      <c r="C24" t="s">
        <v>287</v>
      </c>
      <c r="D24" t="s">
        <v>288</v>
      </c>
      <c r="E24" t="s">
        <v>289</v>
      </c>
      <c r="F24" t="s">
        <v>290</v>
      </c>
    </row>
    <row r="25" spans="1:6" x14ac:dyDescent="0.35">
      <c r="A25" t="str">
        <f>'Sum and Cleaner'!$A$343</f>
        <v>2025-10-19 - Sunday</v>
      </c>
      <c r="B25" t="s">
        <v>298</v>
      </c>
      <c r="C25" t="s">
        <v>299</v>
      </c>
      <c r="D25" t="s">
        <v>300</v>
      </c>
      <c r="E25" t="s">
        <v>301</v>
      </c>
      <c r="F25" t="s">
        <v>302</v>
      </c>
    </row>
    <row r="26" spans="1:6" x14ac:dyDescent="0.35">
      <c r="A26" t="str">
        <f>'Sum and Cleaner'!$A$358</f>
        <v>2025-10-21 - Tuesday</v>
      </c>
      <c r="B26" t="s">
        <v>288</v>
      </c>
      <c r="C26" t="s">
        <v>277</v>
      </c>
      <c r="D26" t="s">
        <v>278</v>
      </c>
      <c r="E26" t="s">
        <v>289</v>
      </c>
      <c r="F26" t="s">
        <v>286</v>
      </c>
    </row>
    <row r="27" spans="1:6" x14ac:dyDescent="0.35">
      <c r="A27" t="str">
        <f>'Sum and Cleaner'!$A$373</f>
        <v>2025-10-22 - Wednesday</v>
      </c>
      <c r="B27" t="s">
        <v>316</v>
      </c>
      <c r="C27" t="s">
        <v>317</v>
      </c>
      <c r="D27" t="s">
        <v>318</v>
      </c>
      <c r="E27" t="s">
        <v>241</v>
      </c>
      <c r="F27" t="s">
        <v>319</v>
      </c>
    </row>
    <row r="28" spans="1:6" x14ac:dyDescent="0.35">
      <c r="A28" t="str">
        <f>'Sum and Cleaner'!$A$394</f>
        <v>2025‑10‑29 - Wednesday</v>
      </c>
      <c r="B28" t="s">
        <v>36</v>
      </c>
      <c r="C28" t="s">
        <v>196</v>
      </c>
      <c r="D28" t="s">
        <v>220</v>
      </c>
      <c r="E28" t="s">
        <v>221</v>
      </c>
      <c r="F28" t="s">
        <v>222</v>
      </c>
    </row>
    <row r="29" spans="1:6" x14ac:dyDescent="0.35">
      <c r="A29" t="str">
        <f>'Sum and Cleaner'!$A$410</f>
        <v>2025-10-30 - Thursday</v>
      </c>
      <c r="B29" t="s">
        <v>231</v>
      </c>
      <c r="C29" t="s">
        <v>154</v>
      </c>
      <c r="D29" t="s">
        <v>232</v>
      </c>
      <c r="E29" t="s">
        <v>233</v>
      </c>
      <c r="F29" t="s">
        <v>12</v>
      </c>
    </row>
    <row r="30" spans="1:6" x14ac:dyDescent="0.35">
      <c r="A30" t="str">
        <f>'Sum and Cleaner'!$A$426</f>
        <v>2025-10-31 - Friday</v>
      </c>
      <c r="B30" t="s">
        <v>196</v>
      </c>
      <c r="C30" t="s">
        <v>212</v>
      </c>
      <c r="D30" t="s">
        <v>236</v>
      </c>
      <c r="E30" t="s">
        <v>220</v>
      </c>
      <c r="F30" t="s">
        <v>237</v>
      </c>
    </row>
    <row r="31" spans="1:6" x14ac:dyDescent="0.35">
      <c r="A31" t="str">
        <f>'Sum and Cleaner'!$A$442</f>
        <v>2025-11-01 - Saturday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</row>
    <row r="32" spans="1:6" x14ac:dyDescent="0.35">
      <c r="A32" t="str">
        <f>'Sum and Cleaner'!$A$458</f>
        <v>2025-11-02 - Sunday</v>
      </c>
      <c r="B32" t="s">
        <v>247</v>
      </c>
      <c r="C32" t="s">
        <v>248</v>
      </c>
      <c r="D32" t="s">
        <v>249</v>
      </c>
      <c r="E32" t="s">
        <v>250</v>
      </c>
      <c r="F32" t="s">
        <v>251</v>
      </c>
    </row>
    <row r="33" spans="1:6" x14ac:dyDescent="0.35">
      <c r="A33" t="str">
        <f>'Sum and Cleaner'!$A$474</f>
        <v>2025-11-03 - Monday</v>
      </c>
      <c r="B33" t="s">
        <v>254</v>
      </c>
      <c r="C33" t="s">
        <v>255</v>
      </c>
      <c r="D33" t="s">
        <v>256</v>
      </c>
      <c r="E33" t="s">
        <v>257</v>
      </c>
      <c r="F33" t="s">
        <v>241</v>
      </c>
    </row>
    <row r="34" spans="1:6" x14ac:dyDescent="0.35">
      <c r="A34" t="str">
        <f>'Sum and Cleaner'!$A$490</f>
        <v>2025-11-04 - Tuesday</v>
      </c>
      <c r="B34" t="s">
        <v>256</v>
      </c>
      <c r="C34" t="s">
        <v>249</v>
      </c>
      <c r="D34" t="s">
        <v>260</v>
      </c>
      <c r="E34" t="s">
        <v>261</v>
      </c>
      <c r="F34" t="s">
        <v>262</v>
      </c>
    </row>
    <row r="35" spans="1:6" x14ac:dyDescent="0.35">
      <c r="A35" t="str">
        <f>'Sum and Cleaner'!$A$516</f>
        <v>2025-11-19 - Wednesday</v>
      </c>
      <c r="B35" t="s">
        <v>153</v>
      </c>
      <c r="C35" t="s">
        <v>36</v>
      </c>
      <c r="D35" t="s">
        <v>154</v>
      </c>
      <c r="E35" t="s">
        <v>155</v>
      </c>
      <c r="F35" t="s">
        <v>162</v>
      </c>
    </row>
    <row r="36" spans="1:6" x14ac:dyDescent="0.35">
      <c r="A36" t="str">
        <f>'Sum and Cleaner'!$A$531</f>
        <v>2025-11-19 - Wednesday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</row>
    <row r="37" spans="1:6" x14ac:dyDescent="0.35">
      <c r="A37" t="str">
        <f>'Sum and Cleaner'!$A$547</f>
        <v>2025-11-20 - Thursday</v>
      </c>
      <c r="B37" t="s">
        <v>2</v>
      </c>
      <c r="C37" t="s">
        <v>12</v>
      </c>
      <c r="D37" t="s">
        <v>13</v>
      </c>
      <c r="E37" t="s">
        <v>14</v>
      </c>
      <c r="F37" t="s">
        <v>15</v>
      </c>
    </row>
    <row r="38" spans="1:6" x14ac:dyDescent="0.35">
      <c r="A38" t="str">
        <f>'Sum and Cleaner'!$A$563</f>
        <v>2025-11-21 - Friday</v>
      </c>
      <c r="B38" t="s">
        <v>24</v>
      </c>
      <c r="C38" t="s">
        <v>25</v>
      </c>
      <c r="D38" t="s">
        <v>13</v>
      </c>
      <c r="E38" t="s">
        <v>26</v>
      </c>
      <c r="F38" t="s">
        <v>27</v>
      </c>
    </row>
    <row r="39" spans="1:6" x14ac:dyDescent="0.35">
      <c r="A39" t="str">
        <f>'Sum and Cleaner'!$A$579</f>
        <v>2025-11-22 - Saturday</v>
      </c>
      <c r="B39" t="s">
        <v>36</v>
      </c>
      <c r="C39" t="s">
        <v>37</v>
      </c>
      <c r="D39" t="s">
        <v>38</v>
      </c>
      <c r="E39" t="s">
        <v>39</v>
      </c>
      <c r="F39" t="s">
        <v>40</v>
      </c>
    </row>
    <row r="40" spans="1:6" x14ac:dyDescent="0.35">
      <c r="A40" t="str">
        <f>'Sum and Cleaner'!$A$595</f>
        <v>2025-11-23 - Sunday</v>
      </c>
      <c r="B40" t="s">
        <v>49</v>
      </c>
      <c r="C40" t="s">
        <v>50</v>
      </c>
      <c r="D40" t="s">
        <v>51</v>
      </c>
      <c r="E40" t="s">
        <v>52</v>
      </c>
      <c r="F40" t="s">
        <v>53</v>
      </c>
    </row>
    <row r="41" spans="1:6" x14ac:dyDescent="0.35">
      <c r="A41" t="str">
        <f>'Sum and Cleaner'!$A$611</f>
        <v>2025-11-24 - Monday</v>
      </c>
      <c r="B41" t="s">
        <v>62</v>
      </c>
      <c r="C41" t="s">
        <v>63</v>
      </c>
      <c r="D41" t="s">
        <v>64</v>
      </c>
      <c r="E41" t="s">
        <v>65</v>
      </c>
      <c r="F41" t="s">
        <v>66</v>
      </c>
    </row>
    <row r="42" spans="1:6" x14ac:dyDescent="0.35">
      <c r="A42" t="str">
        <f>'Sum and Cleaner'!$A$627</f>
        <v>2025-11-25 - Tuesday</v>
      </c>
      <c r="B42" t="s">
        <v>68</v>
      </c>
      <c r="C42" t="s">
        <v>69</v>
      </c>
      <c r="D42" t="s">
        <v>63</v>
      </c>
      <c r="E42" t="s">
        <v>70</v>
      </c>
      <c r="F42" t="s">
        <v>71</v>
      </c>
    </row>
    <row r="43" spans="1:6" x14ac:dyDescent="0.35">
      <c r="A43" t="str">
        <f>'Sum and Cleaner'!$A$653</f>
        <v>2025‑12‑12 / 08:15 - Friday</v>
      </c>
      <c r="B43" t="s">
        <v>328</v>
      </c>
      <c r="C43" t="s">
        <v>329</v>
      </c>
      <c r="D43" t="s">
        <v>330</v>
      </c>
      <c r="E43" t="s">
        <v>331</v>
      </c>
      <c r="F43" t="s">
        <v>332</v>
      </c>
    </row>
    <row r="44" spans="1:6" x14ac:dyDescent="0.35">
      <c r="A44" t="str">
        <f>'Sum and Cleaner'!$A$664</f>
        <v>2025‑12‑13 / 08:15 - Saturday</v>
      </c>
      <c r="B44" t="s">
        <v>335</v>
      </c>
      <c r="C44" t="s">
        <v>336</v>
      </c>
      <c r="D44" t="s">
        <v>337</v>
      </c>
      <c r="E44" t="s">
        <v>338</v>
      </c>
      <c r="F44" t="s">
        <v>339</v>
      </c>
    </row>
    <row r="45" spans="1:6" x14ac:dyDescent="0.35">
      <c r="A45" t="str">
        <f>'Sum and Cleaner'!$A$675</f>
        <v>2025‑12‑14 / 08:15 - Sunday</v>
      </c>
      <c r="B45" t="s">
        <v>342</v>
      </c>
      <c r="C45" t="s">
        <v>343</v>
      </c>
      <c r="D45" t="s">
        <v>344</v>
      </c>
      <c r="E45" t="s">
        <v>345</v>
      </c>
      <c r="F45" t="s">
        <v>346</v>
      </c>
    </row>
    <row r="46" spans="1:6" x14ac:dyDescent="0.35">
      <c r="A46" t="str">
        <f>'Sum and Cleaner'!$A$686</f>
        <v>2025-12-15 / 08:15 - Monday</v>
      </c>
      <c r="B46" t="s">
        <v>349</v>
      </c>
      <c r="C46" t="s">
        <v>350</v>
      </c>
      <c r="D46" t="s">
        <v>351</v>
      </c>
      <c r="E46" t="s">
        <v>352</v>
      </c>
      <c r="F46" t="s">
        <v>353</v>
      </c>
    </row>
  </sheetData>
  <autoFilter ref="A1:H35" xr:uid="{4949D457-4122-40E7-BFD8-49BC056EB878}">
    <sortState xmlns:xlrd2="http://schemas.microsoft.com/office/spreadsheetml/2017/richdata2" ref="A2:H35">
      <sortCondition ref="A1:A3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DAAF-392C-4F19-B469-D9E3E19002CE}">
  <dimension ref="A1:B230"/>
  <sheetViews>
    <sheetView zoomScaleNormal="100" workbookViewId="0">
      <selection activeCell="A2" sqref="A2:A230"/>
    </sheetView>
  </sheetViews>
  <sheetFormatPr defaultRowHeight="14.5" x14ac:dyDescent="0.35"/>
  <cols>
    <col min="1" max="1" width="28" customWidth="1"/>
  </cols>
  <sheetData>
    <row r="1" spans="1:2" x14ac:dyDescent="0.35">
      <c r="A1" t="s">
        <v>358</v>
      </c>
      <c r="B1" t="s">
        <v>368</v>
      </c>
    </row>
    <row r="2" spans="1:2" x14ac:dyDescent="0.35">
      <c r="A2" t="s">
        <v>24</v>
      </c>
      <c r="B2" t="str">
        <f>LEFT(A2,6)</f>
        <v>NVDA –</v>
      </c>
    </row>
    <row r="3" spans="1:2" x14ac:dyDescent="0.35">
      <c r="A3" t="s">
        <v>78</v>
      </c>
      <c r="B3" t="str">
        <f t="shared" ref="B3:B66" si="0">LEFT(A3,6)</f>
        <v>SECU-B</v>
      </c>
    </row>
    <row r="4" spans="1:2" x14ac:dyDescent="0.35">
      <c r="A4" t="s">
        <v>80</v>
      </c>
      <c r="B4" t="str">
        <f t="shared" si="0"/>
        <v>TELIA.</v>
      </c>
    </row>
    <row r="5" spans="1:2" x14ac:dyDescent="0.35">
      <c r="A5" t="s">
        <v>91</v>
      </c>
      <c r="B5" t="str">
        <f t="shared" si="0"/>
        <v>SWEC-B</v>
      </c>
    </row>
    <row r="6" spans="1:2" x14ac:dyDescent="0.35">
      <c r="A6" t="s">
        <v>91</v>
      </c>
      <c r="B6" t="str">
        <f t="shared" si="0"/>
        <v>SWEC-B</v>
      </c>
    </row>
    <row r="7" spans="1:2" x14ac:dyDescent="0.35">
      <c r="A7" t="s">
        <v>102</v>
      </c>
      <c r="B7" t="str">
        <f t="shared" si="0"/>
        <v>HEXA‑B</v>
      </c>
    </row>
    <row r="8" spans="1:2" x14ac:dyDescent="0.35">
      <c r="A8" t="s">
        <v>173</v>
      </c>
      <c r="B8" t="str">
        <f t="shared" si="0"/>
        <v>TSLA –</v>
      </c>
    </row>
    <row r="9" spans="1:2" x14ac:dyDescent="0.35">
      <c r="A9" t="s">
        <v>186</v>
      </c>
      <c r="B9" t="str">
        <f t="shared" si="0"/>
        <v xml:space="preserve">TELIA </v>
      </c>
    </row>
    <row r="10" spans="1:2" x14ac:dyDescent="0.35">
      <c r="A10" t="s">
        <v>12</v>
      </c>
      <c r="B10" t="str">
        <f t="shared" si="0"/>
        <v xml:space="preserve">AMD – </v>
      </c>
    </row>
    <row r="11" spans="1:2" x14ac:dyDescent="0.35">
      <c r="A11" t="s">
        <v>36</v>
      </c>
      <c r="B11" t="str">
        <f t="shared" si="0"/>
        <v>AAPL –</v>
      </c>
    </row>
    <row r="12" spans="1:2" x14ac:dyDescent="0.35">
      <c r="A12" t="s">
        <v>36</v>
      </c>
      <c r="B12" t="str">
        <f t="shared" si="0"/>
        <v>AAPL –</v>
      </c>
    </row>
    <row r="13" spans="1:2" x14ac:dyDescent="0.35">
      <c r="A13" t="s">
        <v>36</v>
      </c>
      <c r="B13" t="str">
        <f t="shared" si="0"/>
        <v>AAPL –</v>
      </c>
    </row>
    <row r="14" spans="1:2" x14ac:dyDescent="0.35">
      <c r="A14" t="s">
        <v>103</v>
      </c>
      <c r="B14" t="str">
        <f t="shared" si="0"/>
        <v xml:space="preserve">AZN – </v>
      </c>
    </row>
    <row r="15" spans="1:2" x14ac:dyDescent="0.35">
      <c r="A15" t="s">
        <v>103</v>
      </c>
      <c r="B15" t="str">
        <f t="shared" si="0"/>
        <v xml:space="preserve">AZN – </v>
      </c>
    </row>
    <row r="16" spans="1:2" x14ac:dyDescent="0.35">
      <c r="A16" t="s">
        <v>126</v>
      </c>
      <c r="B16" t="str">
        <f t="shared" si="0"/>
        <v>MSFT –</v>
      </c>
    </row>
    <row r="17" spans="1:2" x14ac:dyDescent="0.35">
      <c r="A17" t="s">
        <v>131</v>
      </c>
      <c r="B17" t="str">
        <f t="shared" si="0"/>
        <v>ERIC –</v>
      </c>
    </row>
    <row r="18" spans="1:2" x14ac:dyDescent="0.35">
      <c r="A18" t="s">
        <v>126</v>
      </c>
      <c r="B18" t="str">
        <f t="shared" si="0"/>
        <v>MSFT –</v>
      </c>
    </row>
    <row r="19" spans="1:2" x14ac:dyDescent="0.35">
      <c r="A19" t="s">
        <v>142</v>
      </c>
      <c r="B19" t="str">
        <f t="shared" si="0"/>
        <v>STOR B</v>
      </c>
    </row>
    <row r="20" spans="1:2" x14ac:dyDescent="0.35">
      <c r="A20" t="s">
        <v>36</v>
      </c>
      <c r="B20" t="str">
        <f t="shared" si="0"/>
        <v>AAPL –</v>
      </c>
    </row>
    <row r="21" spans="1:2" x14ac:dyDescent="0.35">
      <c r="A21" t="s">
        <v>36</v>
      </c>
      <c r="B21" t="str">
        <f t="shared" si="0"/>
        <v>AAPL –</v>
      </c>
    </row>
    <row r="22" spans="1:2" x14ac:dyDescent="0.35">
      <c r="A22" t="s">
        <v>3</v>
      </c>
      <c r="B22" t="str">
        <f t="shared" si="0"/>
        <v>ERIC –</v>
      </c>
    </row>
    <row r="23" spans="1:2" x14ac:dyDescent="0.35">
      <c r="A23" t="s">
        <v>274</v>
      </c>
      <c r="B23" t="str">
        <f t="shared" si="0"/>
        <v>VOLV-B</v>
      </c>
    </row>
    <row r="24" spans="1:2" x14ac:dyDescent="0.35">
      <c r="A24" t="s">
        <v>286</v>
      </c>
      <c r="B24" t="str">
        <f t="shared" si="0"/>
        <v>ERIC –</v>
      </c>
    </row>
    <row r="25" spans="1:2" x14ac:dyDescent="0.35">
      <c r="A25" t="s">
        <v>298</v>
      </c>
      <c r="B25" t="str">
        <f t="shared" si="0"/>
        <v>SKF-B.</v>
      </c>
    </row>
    <row r="26" spans="1:2" x14ac:dyDescent="0.35">
      <c r="A26" t="s">
        <v>288</v>
      </c>
      <c r="B26" t="str">
        <f t="shared" si="0"/>
        <v>AAPL –</v>
      </c>
    </row>
    <row r="27" spans="1:2" x14ac:dyDescent="0.35">
      <c r="A27" t="s">
        <v>316</v>
      </c>
      <c r="B27" t="str">
        <f t="shared" si="0"/>
        <v xml:space="preserve">SHB A </v>
      </c>
    </row>
    <row r="28" spans="1:2" x14ac:dyDescent="0.35">
      <c r="A28" t="s">
        <v>36</v>
      </c>
      <c r="B28" t="str">
        <f t="shared" si="0"/>
        <v>AAPL –</v>
      </c>
    </row>
    <row r="29" spans="1:2" x14ac:dyDescent="0.35">
      <c r="A29" t="s">
        <v>231</v>
      </c>
      <c r="B29" t="str">
        <f t="shared" si="0"/>
        <v xml:space="preserve">TER – </v>
      </c>
    </row>
    <row r="30" spans="1:2" x14ac:dyDescent="0.35">
      <c r="A30" t="s">
        <v>196</v>
      </c>
      <c r="B30" t="str">
        <f t="shared" si="0"/>
        <v>MSFT –</v>
      </c>
    </row>
    <row r="31" spans="1:2" x14ac:dyDescent="0.35">
      <c r="A31" t="s">
        <v>240</v>
      </c>
      <c r="B31" t="str">
        <f t="shared" si="0"/>
        <v>AMZN –</v>
      </c>
    </row>
    <row r="32" spans="1:2" x14ac:dyDescent="0.35">
      <c r="A32" t="s">
        <v>247</v>
      </c>
      <c r="B32" t="str">
        <f t="shared" si="0"/>
        <v>EQTAB.</v>
      </c>
    </row>
    <row r="33" spans="1:2" x14ac:dyDescent="0.35">
      <c r="A33" t="s">
        <v>254</v>
      </c>
      <c r="B33" t="str">
        <f t="shared" si="0"/>
        <v>SAAB B</v>
      </c>
    </row>
    <row r="34" spans="1:2" x14ac:dyDescent="0.35">
      <c r="A34" t="s">
        <v>256</v>
      </c>
      <c r="B34" t="str">
        <f t="shared" si="0"/>
        <v>EQTAB.</v>
      </c>
    </row>
    <row r="35" spans="1:2" x14ac:dyDescent="0.35">
      <c r="A35" t="s">
        <v>153</v>
      </c>
      <c r="B35" t="str">
        <f t="shared" si="0"/>
        <v>CSCO –</v>
      </c>
    </row>
    <row r="36" spans="1:2" x14ac:dyDescent="0.35">
      <c r="A36" t="s">
        <v>2</v>
      </c>
      <c r="B36" t="str">
        <f t="shared" si="0"/>
        <v>NVDA –</v>
      </c>
    </row>
    <row r="37" spans="1:2" x14ac:dyDescent="0.35">
      <c r="A37" t="s">
        <v>2</v>
      </c>
      <c r="B37" t="str">
        <f t="shared" si="0"/>
        <v>NVDA –</v>
      </c>
    </row>
    <row r="38" spans="1:2" x14ac:dyDescent="0.35">
      <c r="A38" t="s">
        <v>24</v>
      </c>
      <c r="B38" t="str">
        <f t="shared" si="0"/>
        <v>NVDA –</v>
      </c>
    </row>
    <row r="39" spans="1:2" x14ac:dyDescent="0.35">
      <c r="A39" t="s">
        <v>36</v>
      </c>
      <c r="B39" t="str">
        <f t="shared" si="0"/>
        <v>AAPL –</v>
      </c>
    </row>
    <row r="40" spans="1:2" x14ac:dyDescent="0.35">
      <c r="A40" t="s">
        <v>49</v>
      </c>
      <c r="B40" t="str">
        <f t="shared" si="0"/>
        <v>SAAB B</v>
      </c>
    </row>
    <row r="41" spans="1:2" x14ac:dyDescent="0.35">
      <c r="A41" t="s">
        <v>62</v>
      </c>
      <c r="B41" t="str">
        <f t="shared" si="0"/>
        <v xml:space="preserve">WBD – </v>
      </c>
    </row>
    <row r="42" spans="1:2" x14ac:dyDescent="0.35">
      <c r="A42" t="s">
        <v>68</v>
      </c>
      <c r="B42" t="str">
        <f t="shared" si="0"/>
        <v>ASML –</v>
      </c>
    </row>
    <row r="43" spans="1:2" x14ac:dyDescent="0.35">
      <c r="A43" t="s">
        <v>328</v>
      </c>
      <c r="B43" t="str">
        <f t="shared" si="0"/>
        <v>NVDA -</v>
      </c>
    </row>
    <row r="44" spans="1:2" x14ac:dyDescent="0.35">
      <c r="A44" t="s">
        <v>335</v>
      </c>
      <c r="B44" t="str">
        <f t="shared" si="0"/>
        <v>COIN -</v>
      </c>
    </row>
    <row r="45" spans="1:2" x14ac:dyDescent="0.35">
      <c r="A45" t="s">
        <v>342</v>
      </c>
      <c r="B45" t="str">
        <f t="shared" si="0"/>
        <v>TSLA -</v>
      </c>
    </row>
    <row r="46" spans="1:2" x14ac:dyDescent="0.35">
      <c r="A46" t="s">
        <v>349</v>
      </c>
      <c r="B46" t="str">
        <f t="shared" si="0"/>
        <v xml:space="preserve">BAC – </v>
      </c>
    </row>
    <row r="47" spans="1:2" x14ac:dyDescent="0.35">
      <c r="A47" t="s">
        <v>359</v>
      </c>
      <c r="B47" t="str">
        <f t="shared" si="0"/>
        <v>Rec 2</v>
      </c>
    </row>
    <row r="48" spans="1:2" x14ac:dyDescent="0.35">
      <c r="A48" t="s">
        <v>36</v>
      </c>
      <c r="B48" t="str">
        <f t="shared" si="0"/>
        <v>AAPL –</v>
      </c>
    </row>
    <row r="49" spans="1:2" x14ac:dyDescent="0.35">
      <c r="A49" t="s">
        <v>79</v>
      </c>
      <c r="B49" t="str">
        <f t="shared" si="0"/>
        <v>ERIC-B</v>
      </c>
    </row>
    <row r="50" spans="1:2" x14ac:dyDescent="0.35">
      <c r="A50" t="s">
        <v>79</v>
      </c>
      <c r="B50" t="str">
        <f t="shared" si="0"/>
        <v>ERIC-B</v>
      </c>
    </row>
    <row r="51" spans="1:2" x14ac:dyDescent="0.35">
      <c r="A51" t="s">
        <v>92</v>
      </c>
      <c r="B51" t="str">
        <f t="shared" si="0"/>
        <v>ATCO-A</v>
      </c>
    </row>
    <row r="52" spans="1:2" x14ac:dyDescent="0.35">
      <c r="A52" t="s">
        <v>97</v>
      </c>
      <c r="B52" t="str">
        <f t="shared" si="0"/>
        <v>ERIC-B</v>
      </c>
    </row>
    <row r="53" spans="1:2" x14ac:dyDescent="0.35">
      <c r="A53" t="s">
        <v>103</v>
      </c>
      <c r="B53" t="str">
        <f t="shared" si="0"/>
        <v xml:space="preserve">AZN – </v>
      </c>
    </row>
    <row r="54" spans="1:2" x14ac:dyDescent="0.35">
      <c r="A54" t="s">
        <v>174</v>
      </c>
      <c r="B54" t="str">
        <f t="shared" si="0"/>
        <v xml:space="preserve">IBM – </v>
      </c>
    </row>
    <row r="55" spans="1:2" x14ac:dyDescent="0.35">
      <c r="A55" t="s">
        <v>187</v>
      </c>
      <c r="B55" t="str">
        <f t="shared" si="0"/>
        <v xml:space="preserve">PCELL </v>
      </c>
    </row>
    <row r="56" spans="1:2" x14ac:dyDescent="0.35">
      <c r="A56" t="s">
        <v>196</v>
      </c>
      <c r="B56" t="str">
        <f t="shared" si="0"/>
        <v>MSFT –</v>
      </c>
    </row>
    <row r="57" spans="1:2" x14ac:dyDescent="0.35">
      <c r="A57" t="s">
        <v>196</v>
      </c>
      <c r="B57" t="str">
        <f t="shared" si="0"/>
        <v>MSFT –</v>
      </c>
    </row>
    <row r="58" spans="1:2" x14ac:dyDescent="0.35">
      <c r="A58" t="s">
        <v>196</v>
      </c>
      <c r="B58" t="str">
        <f t="shared" si="0"/>
        <v>MSFT –</v>
      </c>
    </row>
    <row r="59" spans="1:2" x14ac:dyDescent="0.35">
      <c r="A59" t="s">
        <v>196</v>
      </c>
      <c r="B59" t="str">
        <f t="shared" si="0"/>
        <v>MSFT –</v>
      </c>
    </row>
    <row r="60" spans="1:2" x14ac:dyDescent="0.35">
      <c r="A60" t="s">
        <v>104</v>
      </c>
      <c r="B60" t="str">
        <f t="shared" si="0"/>
        <v>EQTAB.</v>
      </c>
    </row>
    <row r="61" spans="1:2" x14ac:dyDescent="0.35">
      <c r="A61" t="s">
        <v>119</v>
      </c>
      <c r="B61" t="str">
        <f t="shared" si="0"/>
        <v>EQT.ST</v>
      </c>
    </row>
    <row r="62" spans="1:2" x14ac:dyDescent="0.35">
      <c r="A62" t="s">
        <v>24</v>
      </c>
      <c r="B62" t="str">
        <f t="shared" si="0"/>
        <v>NVDA –</v>
      </c>
    </row>
    <row r="63" spans="1:2" x14ac:dyDescent="0.35">
      <c r="A63" t="s">
        <v>126</v>
      </c>
      <c r="B63" t="str">
        <f t="shared" si="0"/>
        <v>MSFT –</v>
      </c>
    </row>
    <row r="64" spans="1:2" x14ac:dyDescent="0.35">
      <c r="A64" t="s">
        <v>24</v>
      </c>
      <c r="B64" t="str">
        <f t="shared" si="0"/>
        <v>NVDA –</v>
      </c>
    </row>
    <row r="65" spans="1:2" x14ac:dyDescent="0.35">
      <c r="A65" t="s">
        <v>143</v>
      </c>
      <c r="B65" t="str">
        <f t="shared" si="0"/>
        <v>BOL.ST</v>
      </c>
    </row>
    <row r="66" spans="1:2" x14ac:dyDescent="0.35">
      <c r="A66" t="s">
        <v>153</v>
      </c>
      <c r="B66" t="str">
        <f t="shared" si="0"/>
        <v>CSCO –</v>
      </c>
    </row>
    <row r="67" spans="1:2" x14ac:dyDescent="0.35">
      <c r="A67" t="s">
        <v>153</v>
      </c>
      <c r="B67" t="str">
        <f t="shared" ref="B67:B130" si="1">LEFT(A67,6)</f>
        <v>CSCO –</v>
      </c>
    </row>
    <row r="68" spans="1:2" x14ac:dyDescent="0.35">
      <c r="A68" t="s">
        <v>81</v>
      </c>
      <c r="B68" t="str">
        <f t="shared" si="1"/>
        <v>SAAB-B</v>
      </c>
    </row>
    <row r="69" spans="1:2" x14ac:dyDescent="0.35">
      <c r="A69" t="s">
        <v>275</v>
      </c>
      <c r="B69" t="str">
        <f t="shared" si="1"/>
        <v>NIBE-B</v>
      </c>
    </row>
    <row r="70" spans="1:2" x14ac:dyDescent="0.35">
      <c r="A70" t="s">
        <v>287</v>
      </c>
      <c r="B70" t="str">
        <f t="shared" si="1"/>
        <v>SAND.S</v>
      </c>
    </row>
    <row r="71" spans="1:2" x14ac:dyDescent="0.35">
      <c r="A71" t="s">
        <v>299</v>
      </c>
      <c r="B71" t="str">
        <f t="shared" si="1"/>
        <v>EVO.ST</v>
      </c>
    </row>
    <row r="72" spans="1:2" x14ac:dyDescent="0.35">
      <c r="A72" t="s">
        <v>277</v>
      </c>
      <c r="B72" t="str">
        <f t="shared" si="1"/>
        <v>TSLA –</v>
      </c>
    </row>
    <row r="73" spans="1:2" x14ac:dyDescent="0.35">
      <c r="A73" t="s">
        <v>317</v>
      </c>
      <c r="B73" t="str">
        <f t="shared" si="1"/>
        <v xml:space="preserve">SAABB </v>
      </c>
    </row>
    <row r="74" spans="1:2" x14ac:dyDescent="0.35">
      <c r="A74" t="s">
        <v>196</v>
      </c>
      <c r="B74" t="str">
        <f t="shared" si="1"/>
        <v>MSFT –</v>
      </c>
    </row>
    <row r="75" spans="1:2" x14ac:dyDescent="0.35">
      <c r="A75" t="s">
        <v>154</v>
      </c>
      <c r="B75" t="str">
        <f t="shared" si="1"/>
        <v xml:space="preserve">CAT – </v>
      </c>
    </row>
    <row r="76" spans="1:2" x14ac:dyDescent="0.35">
      <c r="A76" t="s">
        <v>212</v>
      </c>
      <c r="B76" t="str">
        <f t="shared" si="1"/>
        <v xml:space="preserve">GOOGL </v>
      </c>
    </row>
    <row r="77" spans="1:2" x14ac:dyDescent="0.35">
      <c r="A77" t="s">
        <v>241</v>
      </c>
      <c r="B77" t="str">
        <f t="shared" si="1"/>
        <v>AAPL –</v>
      </c>
    </row>
    <row r="78" spans="1:2" x14ac:dyDescent="0.35">
      <c r="A78" t="s">
        <v>248</v>
      </c>
      <c r="B78" t="str">
        <f t="shared" si="1"/>
        <v>MSFT –</v>
      </c>
    </row>
    <row r="79" spans="1:2" x14ac:dyDescent="0.35">
      <c r="A79" t="s">
        <v>255</v>
      </c>
      <c r="B79" t="str">
        <f t="shared" si="1"/>
        <v>SAVE.S</v>
      </c>
    </row>
    <row r="80" spans="1:2" x14ac:dyDescent="0.35">
      <c r="A80" t="s">
        <v>249</v>
      </c>
      <c r="B80" t="str">
        <f t="shared" si="1"/>
        <v>NVDA –</v>
      </c>
    </row>
    <row r="81" spans="1:2" x14ac:dyDescent="0.35">
      <c r="A81" t="s">
        <v>36</v>
      </c>
      <c r="B81" t="str">
        <f t="shared" si="1"/>
        <v>AAPL –</v>
      </c>
    </row>
    <row r="82" spans="1:2" x14ac:dyDescent="0.35">
      <c r="A82" t="s">
        <v>3</v>
      </c>
      <c r="B82" t="str">
        <f t="shared" si="1"/>
        <v>ERIC –</v>
      </c>
    </row>
    <row r="83" spans="1:2" x14ac:dyDescent="0.35">
      <c r="A83" t="s">
        <v>12</v>
      </c>
      <c r="B83" t="str">
        <f t="shared" si="1"/>
        <v xml:space="preserve">AMD – </v>
      </c>
    </row>
    <row r="84" spans="1:2" x14ac:dyDescent="0.35">
      <c r="A84" t="s">
        <v>25</v>
      </c>
      <c r="B84" t="str">
        <f t="shared" si="1"/>
        <v>ERIC –</v>
      </c>
    </row>
    <row r="85" spans="1:2" x14ac:dyDescent="0.35">
      <c r="A85" t="s">
        <v>37</v>
      </c>
      <c r="B85" t="str">
        <f t="shared" si="1"/>
        <v xml:space="preserve">SAP – </v>
      </c>
    </row>
    <row r="86" spans="1:2" x14ac:dyDescent="0.35">
      <c r="A86" t="s">
        <v>50</v>
      </c>
      <c r="B86" t="str">
        <f t="shared" si="1"/>
        <v xml:space="preserve">WBD – </v>
      </c>
    </row>
    <row r="87" spans="1:2" x14ac:dyDescent="0.35">
      <c r="A87" t="s">
        <v>63</v>
      </c>
      <c r="B87" t="str">
        <f t="shared" si="1"/>
        <v>COST –</v>
      </c>
    </row>
    <row r="88" spans="1:2" x14ac:dyDescent="0.35">
      <c r="A88" t="s">
        <v>69</v>
      </c>
      <c r="B88" t="str">
        <f t="shared" si="1"/>
        <v>LRCX –</v>
      </c>
    </row>
    <row r="89" spans="1:2" x14ac:dyDescent="0.35">
      <c r="A89" t="s">
        <v>329</v>
      </c>
      <c r="B89" t="str">
        <f t="shared" si="1"/>
        <v>MSFT -</v>
      </c>
    </row>
    <row r="90" spans="1:2" x14ac:dyDescent="0.35">
      <c r="A90" t="s">
        <v>336</v>
      </c>
      <c r="B90" t="str">
        <f t="shared" si="1"/>
        <v xml:space="preserve">CVX - </v>
      </c>
    </row>
    <row r="91" spans="1:2" x14ac:dyDescent="0.35">
      <c r="A91" t="s">
        <v>343</v>
      </c>
      <c r="B91" t="str">
        <f t="shared" si="1"/>
        <v>GE - G</v>
      </c>
    </row>
    <row r="92" spans="1:2" x14ac:dyDescent="0.35">
      <c r="A92" t="s">
        <v>350</v>
      </c>
      <c r="B92" t="str">
        <f t="shared" si="1"/>
        <v xml:space="preserve">WBD – </v>
      </c>
    </row>
    <row r="93" spans="1:2" x14ac:dyDescent="0.35">
      <c r="A93" t="s">
        <v>360</v>
      </c>
      <c r="B93" t="str">
        <f t="shared" si="1"/>
        <v>Rec 3</v>
      </c>
    </row>
    <row r="94" spans="1:2" x14ac:dyDescent="0.35">
      <c r="A94" t="s">
        <v>126</v>
      </c>
      <c r="B94" t="str">
        <f t="shared" si="1"/>
        <v>MSFT –</v>
      </c>
    </row>
    <row r="95" spans="1:2" x14ac:dyDescent="0.35">
      <c r="A95" t="s">
        <v>80</v>
      </c>
      <c r="B95" t="str">
        <f t="shared" si="1"/>
        <v>TELIA.</v>
      </c>
    </row>
    <row r="96" spans="1:2" x14ac:dyDescent="0.35">
      <c r="A96" t="s">
        <v>81</v>
      </c>
      <c r="B96" t="str">
        <f t="shared" si="1"/>
        <v>SAAB-B</v>
      </c>
    </row>
    <row r="97" spans="1:2" x14ac:dyDescent="0.35">
      <c r="A97" t="s">
        <v>93</v>
      </c>
      <c r="B97" t="str">
        <f t="shared" si="1"/>
        <v>HEXA-B</v>
      </c>
    </row>
    <row r="98" spans="1:2" x14ac:dyDescent="0.35">
      <c r="A98" t="s">
        <v>98</v>
      </c>
      <c r="B98" t="str">
        <f t="shared" si="1"/>
        <v>SSAB-B</v>
      </c>
    </row>
    <row r="99" spans="1:2" x14ac:dyDescent="0.35">
      <c r="A99" t="s">
        <v>104</v>
      </c>
      <c r="B99" t="str">
        <f t="shared" si="1"/>
        <v>EQTAB.</v>
      </c>
    </row>
    <row r="100" spans="1:2" x14ac:dyDescent="0.35">
      <c r="A100" t="s">
        <v>175</v>
      </c>
      <c r="B100" t="str">
        <f t="shared" si="1"/>
        <v xml:space="preserve">NKE – </v>
      </c>
    </row>
    <row r="101" spans="1:2" x14ac:dyDescent="0.35">
      <c r="A101" t="s">
        <v>177</v>
      </c>
      <c r="B101" t="str">
        <f t="shared" si="1"/>
        <v xml:space="preserve">SEB_A </v>
      </c>
    </row>
    <row r="102" spans="1:2" x14ac:dyDescent="0.35">
      <c r="A102" t="s">
        <v>197</v>
      </c>
      <c r="B102" t="str">
        <f t="shared" si="1"/>
        <v>SAND –</v>
      </c>
    </row>
    <row r="103" spans="1:2" x14ac:dyDescent="0.35">
      <c r="A103" t="s">
        <v>188</v>
      </c>
      <c r="B103" t="str">
        <f t="shared" si="1"/>
        <v>ERIC –</v>
      </c>
    </row>
    <row r="104" spans="1:2" x14ac:dyDescent="0.35">
      <c r="A104" t="s">
        <v>186</v>
      </c>
      <c r="B104" t="str">
        <f t="shared" si="1"/>
        <v xml:space="preserve">TELIA </v>
      </c>
    </row>
    <row r="105" spans="1:2" x14ac:dyDescent="0.35">
      <c r="A105" t="s">
        <v>212</v>
      </c>
      <c r="B105" t="str">
        <f t="shared" si="1"/>
        <v xml:space="preserve">GOOGL </v>
      </c>
    </row>
    <row r="106" spans="1:2" x14ac:dyDescent="0.35">
      <c r="A106" t="s">
        <v>102</v>
      </c>
      <c r="B106" t="str">
        <f t="shared" si="1"/>
        <v>HEXA‑B</v>
      </c>
    </row>
    <row r="107" spans="1:2" x14ac:dyDescent="0.35">
      <c r="A107" t="s">
        <v>102</v>
      </c>
      <c r="B107" t="str">
        <f t="shared" si="1"/>
        <v>HEXA‑B</v>
      </c>
    </row>
    <row r="108" spans="1:2" x14ac:dyDescent="0.35">
      <c r="A108" t="s">
        <v>127</v>
      </c>
      <c r="B108" t="str">
        <f t="shared" si="1"/>
        <v>SAAB B</v>
      </c>
    </row>
    <row r="109" spans="1:2" x14ac:dyDescent="0.35">
      <c r="A109" t="s">
        <v>24</v>
      </c>
      <c r="B109" t="str">
        <f t="shared" si="1"/>
        <v>NVDA –</v>
      </c>
    </row>
    <row r="110" spans="1:2" x14ac:dyDescent="0.35">
      <c r="A110" t="s">
        <v>134</v>
      </c>
      <c r="B110" t="str">
        <f t="shared" si="1"/>
        <v xml:space="preserve">APM – </v>
      </c>
    </row>
    <row r="111" spans="1:2" x14ac:dyDescent="0.35">
      <c r="A111" t="s">
        <v>126</v>
      </c>
      <c r="B111" t="str">
        <f t="shared" si="1"/>
        <v>MSFT –</v>
      </c>
    </row>
    <row r="112" spans="1:2" x14ac:dyDescent="0.35">
      <c r="A112" t="s">
        <v>154</v>
      </c>
      <c r="B112" t="str">
        <f t="shared" si="1"/>
        <v xml:space="preserve">CAT – </v>
      </c>
    </row>
    <row r="113" spans="1:2" x14ac:dyDescent="0.35">
      <c r="A113" t="s">
        <v>154</v>
      </c>
      <c r="B113" t="str">
        <f t="shared" si="1"/>
        <v xml:space="preserve">CAT – </v>
      </c>
    </row>
    <row r="114" spans="1:2" x14ac:dyDescent="0.35">
      <c r="A114" t="s">
        <v>5</v>
      </c>
      <c r="B114" t="str">
        <f t="shared" si="1"/>
        <v>AZN.ST</v>
      </c>
    </row>
    <row r="115" spans="1:2" x14ac:dyDescent="0.35">
      <c r="A115" t="s">
        <v>276</v>
      </c>
      <c r="B115" t="str">
        <f t="shared" si="1"/>
        <v>SPOT –</v>
      </c>
    </row>
    <row r="116" spans="1:2" x14ac:dyDescent="0.35">
      <c r="A116" t="s">
        <v>288</v>
      </c>
      <c r="B116" t="str">
        <f t="shared" si="1"/>
        <v>AAPL –</v>
      </c>
    </row>
    <row r="117" spans="1:2" x14ac:dyDescent="0.35">
      <c r="A117" t="s">
        <v>300</v>
      </c>
      <c r="B117" t="str">
        <f t="shared" si="1"/>
        <v>MSFT –</v>
      </c>
    </row>
    <row r="118" spans="1:2" x14ac:dyDescent="0.35">
      <c r="A118" t="s">
        <v>278</v>
      </c>
      <c r="B118" t="str">
        <f t="shared" si="1"/>
        <v>SHEL –</v>
      </c>
    </row>
    <row r="119" spans="1:2" x14ac:dyDescent="0.35">
      <c r="A119" t="s">
        <v>318</v>
      </c>
      <c r="B119" t="str">
        <f t="shared" si="1"/>
        <v>SSAB A</v>
      </c>
    </row>
    <row r="120" spans="1:2" x14ac:dyDescent="0.35">
      <c r="A120" t="s">
        <v>220</v>
      </c>
      <c r="B120" t="str">
        <f t="shared" si="1"/>
        <v>ASML –</v>
      </c>
    </row>
    <row r="121" spans="1:2" x14ac:dyDescent="0.35">
      <c r="A121" t="s">
        <v>232</v>
      </c>
      <c r="B121" t="str">
        <f t="shared" si="1"/>
        <v>W – Wa</v>
      </c>
    </row>
    <row r="122" spans="1:2" x14ac:dyDescent="0.35">
      <c r="A122" t="s">
        <v>236</v>
      </c>
      <c r="B122" t="str">
        <f t="shared" si="1"/>
        <v>VOLV B</v>
      </c>
    </row>
    <row r="123" spans="1:2" x14ac:dyDescent="0.35">
      <c r="A123" t="s">
        <v>242</v>
      </c>
      <c r="B123" t="str">
        <f t="shared" si="1"/>
        <v>EQTAB.</v>
      </c>
    </row>
    <row r="124" spans="1:2" x14ac:dyDescent="0.35">
      <c r="A124" t="s">
        <v>249</v>
      </c>
      <c r="B124" t="str">
        <f t="shared" si="1"/>
        <v>NVDA –</v>
      </c>
    </row>
    <row r="125" spans="1:2" x14ac:dyDescent="0.35">
      <c r="A125" t="s">
        <v>256</v>
      </c>
      <c r="B125" t="str">
        <f t="shared" si="1"/>
        <v>EQTAB.</v>
      </c>
    </row>
    <row r="126" spans="1:2" x14ac:dyDescent="0.35">
      <c r="A126" t="s">
        <v>260</v>
      </c>
      <c r="B126" t="str">
        <f t="shared" si="1"/>
        <v>VRTX –</v>
      </c>
    </row>
    <row r="127" spans="1:2" x14ac:dyDescent="0.35">
      <c r="A127" t="s">
        <v>154</v>
      </c>
      <c r="B127" t="str">
        <f t="shared" si="1"/>
        <v xml:space="preserve">CAT – </v>
      </c>
    </row>
    <row r="128" spans="1:2" x14ac:dyDescent="0.35">
      <c r="A128" t="s">
        <v>4</v>
      </c>
      <c r="B128" t="str">
        <f t="shared" si="1"/>
        <v>VOLV-B</v>
      </c>
    </row>
    <row r="129" spans="1:2" x14ac:dyDescent="0.35">
      <c r="A129" t="s">
        <v>13</v>
      </c>
      <c r="B129" t="str">
        <f t="shared" si="1"/>
        <v xml:space="preserve">WMT – </v>
      </c>
    </row>
    <row r="130" spans="1:2" x14ac:dyDescent="0.35">
      <c r="A130" t="s">
        <v>13</v>
      </c>
      <c r="B130" t="str">
        <f t="shared" si="1"/>
        <v xml:space="preserve">WMT – </v>
      </c>
    </row>
    <row r="131" spans="1:2" x14ac:dyDescent="0.35">
      <c r="A131" t="s">
        <v>38</v>
      </c>
      <c r="B131" t="str">
        <f t="shared" ref="B131:B194" si="2">LEFT(A131,6)</f>
        <v>SAND.S</v>
      </c>
    </row>
    <row r="132" spans="1:2" x14ac:dyDescent="0.35">
      <c r="A132" t="s">
        <v>51</v>
      </c>
      <c r="B132" t="str">
        <f t="shared" si="2"/>
        <v>COST –</v>
      </c>
    </row>
    <row r="133" spans="1:2" x14ac:dyDescent="0.35">
      <c r="A133" t="s">
        <v>64</v>
      </c>
      <c r="B133" t="str">
        <f t="shared" si="2"/>
        <v>LRCX –</v>
      </c>
    </row>
    <row r="134" spans="1:2" x14ac:dyDescent="0.35">
      <c r="A134" t="s">
        <v>63</v>
      </c>
      <c r="B134" t="str">
        <f t="shared" si="2"/>
        <v>COST –</v>
      </c>
    </row>
    <row r="135" spans="1:2" x14ac:dyDescent="0.35">
      <c r="A135" t="s">
        <v>330</v>
      </c>
      <c r="B135" t="str">
        <f t="shared" si="2"/>
        <v>TSLA -</v>
      </c>
    </row>
    <row r="136" spans="1:2" x14ac:dyDescent="0.35">
      <c r="A136" t="s">
        <v>337</v>
      </c>
      <c r="B136" t="str">
        <f t="shared" si="2"/>
        <v>CRON -</v>
      </c>
    </row>
    <row r="137" spans="1:2" x14ac:dyDescent="0.35">
      <c r="A137" t="s">
        <v>344</v>
      </c>
      <c r="B137" t="str">
        <f t="shared" si="2"/>
        <v xml:space="preserve">LLY - </v>
      </c>
    </row>
    <row r="138" spans="1:2" x14ac:dyDescent="0.35">
      <c r="A138" t="s">
        <v>351</v>
      </c>
      <c r="B138" t="str">
        <f t="shared" si="2"/>
        <v xml:space="preserve">IBM – </v>
      </c>
    </row>
    <row r="139" spans="1:2" x14ac:dyDescent="0.35">
      <c r="A139" t="s">
        <v>361</v>
      </c>
      <c r="B139" t="str">
        <f t="shared" si="2"/>
        <v>Rec 4</v>
      </c>
    </row>
    <row r="140" spans="1:2" x14ac:dyDescent="0.35">
      <c r="A140" t="s">
        <v>169</v>
      </c>
      <c r="B140" t="str">
        <f t="shared" si="2"/>
        <v>ERICb.</v>
      </c>
    </row>
    <row r="141" spans="1:2" x14ac:dyDescent="0.35">
      <c r="A141" t="s">
        <v>81</v>
      </c>
      <c r="B141" t="str">
        <f t="shared" si="2"/>
        <v>SAAB-B</v>
      </c>
    </row>
    <row r="142" spans="1:2" x14ac:dyDescent="0.35">
      <c r="A142" t="s">
        <v>82</v>
      </c>
      <c r="B142" t="str">
        <f t="shared" si="2"/>
        <v>VOLV-B</v>
      </c>
    </row>
    <row r="143" spans="1:2" x14ac:dyDescent="0.35">
      <c r="A143" t="s">
        <v>94</v>
      </c>
      <c r="B143" t="str">
        <f t="shared" si="2"/>
        <v>INVE-B</v>
      </c>
    </row>
    <row r="144" spans="1:2" x14ac:dyDescent="0.35">
      <c r="A144" t="s">
        <v>99</v>
      </c>
      <c r="B144" t="str">
        <f t="shared" si="2"/>
        <v>SHBa.S</v>
      </c>
    </row>
    <row r="145" spans="1:2" x14ac:dyDescent="0.35">
      <c r="A145" t="s">
        <v>105</v>
      </c>
      <c r="B145" t="str">
        <f t="shared" si="2"/>
        <v>SAABb.</v>
      </c>
    </row>
    <row r="146" spans="1:2" x14ac:dyDescent="0.35">
      <c r="A146" t="s">
        <v>176</v>
      </c>
      <c r="B146" t="str">
        <f t="shared" si="2"/>
        <v>SAND –</v>
      </c>
    </row>
    <row r="147" spans="1:2" x14ac:dyDescent="0.35">
      <c r="A147" t="s">
        <v>188</v>
      </c>
      <c r="B147" t="str">
        <f t="shared" si="2"/>
        <v>ERIC –</v>
      </c>
    </row>
    <row r="148" spans="1:2" x14ac:dyDescent="0.35">
      <c r="A148" t="s">
        <v>188</v>
      </c>
      <c r="B148" t="str">
        <f t="shared" si="2"/>
        <v>ERIC –</v>
      </c>
    </row>
    <row r="149" spans="1:2" x14ac:dyDescent="0.35">
      <c r="A149" t="s">
        <v>200</v>
      </c>
      <c r="B149" t="str">
        <f t="shared" si="2"/>
        <v xml:space="preserve">ADS – </v>
      </c>
    </row>
    <row r="150" spans="1:2" x14ac:dyDescent="0.35">
      <c r="A150" t="s">
        <v>202</v>
      </c>
      <c r="B150" t="str">
        <f t="shared" si="2"/>
        <v>NVIDIA</v>
      </c>
    </row>
    <row r="151" spans="1:2" x14ac:dyDescent="0.35">
      <c r="A151" t="s">
        <v>40</v>
      </c>
      <c r="B151" t="str">
        <f t="shared" si="2"/>
        <v>TSLA –</v>
      </c>
    </row>
    <row r="152" spans="1:2" x14ac:dyDescent="0.35">
      <c r="A152" t="s">
        <v>105</v>
      </c>
      <c r="B152" t="str">
        <f t="shared" si="2"/>
        <v>SAABb.</v>
      </c>
    </row>
    <row r="153" spans="1:2" x14ac:dyDescent="0.35">
      <c r="A153" t="s">
        <v>105</v>
      </c>
      <c r="B153" t="str">
        <f t="shared" si="2"/>
        <v>SAABb.</v>
      </c>
    </row>
    <row r="154" spans="1:2" x14ac:dyDescent="0.35">
      <c r="A154" t="s">
        <v>128</v>
      </c>
      <c r="B154" t="str">
        <f t="shared" si="2"/>
        <v xml:space="preserve">BOL – </v>
      </c>
    </row>
    <row r="155" spans="1:2" x14ac:dyDescent="0.35">
      <c r="A155" t="s">
        <v>132</v>
      </c>
      <c r="B155" t="str">
        <f t="shared" si="2"/>
        <v>VOLV‑B</v>
      </c>
    </row>
    <row r="156" spans="1:2" x14ac:dyDescent="0.35">
      <c r="A156" t="s">
        <v>135</v>
      </c>
      <c r="B156" t="str">
        <f t="shared" si="2"/>
        <v>LACX –</v>
      </c>
    </row>
    <row r="157" spans="1:2" x14ac:dyDescent="0.35">
      <c r="A157" t="s">
        <v>24</v>
      </c>
      <c r="B157" t="str">
        <f t="shared" si="2"/>
        <v>NVDA –</v>
      </c>
    </row>
    <row r="158" spans="1:2" x14ac:dyDescent="0.35">
      <c r="A158" t="s">
        <v>155</v>
      </c>
      <c r="B158" t="str">
        <f t="shared" si="2"/>
        <v xml:space="preserve">BHP – </v>
      </c>
    </row>
    <row r="159" spans="1:2" x14ac:dyDescent="0.35">
      <c r="A159" t="s">
        <v>264</v>
      </c>
      <c r="B159" t="str">
        <f t="shared" si="2"/>
        <v>2025-1</v>
      </c>
    </row>
    <row r="160" spans="1:2" x14ac:dyDescent="0.35">
      <c r="A160" t="s">
        <v>265</v>
      </c>
      <c r="B160" t="str">
        <f t="shared" si="2"/>
        <v xml:space="preserve">AMD – </v>
      </c>
    </row>
    <row r="161" spans="1:2" x14ac:dyDescent="0.35">
      <c r="A161" t="s">
        <v>277</v>
      </c>
      <c r="B161" t="str">
        <f t="shared" si="2"/>
        <v>TSLA –</v>
      </c>
    </row>
    <row r="162" spans="1:2" x14ac:dyDescent="0.35">
      <c r="A162" t="s">
        <v>289</v>
      </c>
      <c r="B162" t="str">
        <f t="shared" si="2"/>
        <v xml:space="preserve">RIO – </v>
      </c>
    </row>
    <row r="163" spans="1:2" x14ac:dyDescent="0.35">
      <c r="A163" t="s">
        <v>301</v>
      </c>
      <c r="B163" t="str">
        <f t="shared" si="2"/>
        <v xml:space="preserve">NVO – </v>
      </c>
    </row>
    <row r="164" spans="1:2" x14ac:dyDescent="0.35">
      <c r="A164" t="s">
        <v>289</v>
      </c>
      <c r="B164" t="str">
        <f t="shared" si="2"/>
        <v xml:space="preserve">RIO – </v>
      </c>
    </row>
    <row r="165" spans="1:2" x14ac:dyDescent="0.35">
      <c r="A165" t="s">
        <v>241</v>
      </c>
      <c r="B165" t="str">
        <f t="shared" si="2"/>
        <v>AAPL –</v>
      </c>
    </row>
    <row r="166" spans="1:2" x14ac:dyDescent="0.35">
      <c r="A166" t="s">
        <v>221</v>
      </c>
      <c r="B166" t="str">
        <f t="shared" si="2"/>
        <v>VOLV B</v>
      </c>
    </row>
    <row r="167" spans="1:2" x14ac:dyDescent="0.35">
      <c r="A167" t="s">
        <v>233</v>
      </c>
      <c r="B167" t="str">
        <f t="shared" si="2"/>
        <v>AVGO –</v>
      </c>
    </row>
    <row r="168" spans="1:2" x14ac:dyDescent="0.35">
      <c r="A168" t="s">
        <v>220</v>
      </c>
      <c r="B168" t="str">
        <f t="shared" si="2"/>
        <v>ASML –</v>
      </c>
    </row>
    <row r="169" spans="1:2" x14ac:dyDescent="0.35">
      <c r="A169" t="s">
        <v>243</v>
      </c>
      <c r="B169" t="str">
        <f t="shared" si="2"/>
        <v xml:space="preserve">CAT – </v>
      </c>
    </row>
    <row r="170" spans="1:2" x14ac:dyDescent="0.35">
      <c r="A170" t="s">
        <v>250</v>
      </c>
      <c r="B170" t="str">
        <f t="shared" si="2"/>
        <v xml:space="preserve">JNJ – </v>
      </c>
    </row>
    <row r="171" spans="1:2" x14ac:dyDescent="0.35">
      <c r="A171" t="s">
        <v>257</v>
      </c>
      <c r="B171" t="str">
        <f t="shared" si="2"/>
        <v>ERIC B</v>
      </c>
    </row>
    <row r="172" spans="1:2" x14ac:dyDescent="0.35">
      <c r="A172" t="s">
        <v>261</v>
      </c>
      <c r="B172" t="str">
        <f t="shared" si="2"/>
        <v>DELL –</v>
      </c>
    </row>
    <row r="173" spans="1:2" x14ac:dyDescent="0.35">
      <c r="A173" t="s">
        <v>155</v>
      </c>
      <c r="B173" t="str">
        <f t="shared" si="2"/>
        <v xml:space="preserve">BHP – </v>
      </c>
    </row>
    <row r="174" spans="1:2" x14ac:dyDescent="0.35">
      <c r="A174" t="s">
        <v>5</v>
      </c>
      <c r="B174" t="str">
        <f t="shared" si="2"/>
        <v>AZN.ST</v>
      </c>
    </row>
    <row r="175" spans="1:2" x14ac:dyDescent="0.35">
      <c r="A175" t="s">
        <v>14</v>
      </c>
      <c r="B175" t="str">
        <f t="shared" si="2"/>
        <v>SYNSAM</v>
      </c>
    </row>
    <row r="176" spans="1:2" x14ac:dyDescent="0.35">
      <c r="A176" t="s">
        <v>26</v>
      </c>
      <c r="B176" t="str">
        <f t="shared" si="2"/>
        <v xml:space="preserve">TEL – </v>
      </c>
    </row>
    <row r="177" spans="1:2" x14ac:dyDescent="0.35">
      <c r="A177" t="s">
        <v>39</v>
      </c>
      <c r="B177" t="str">
        <f t="shared" si="2"/>
        <v>ORSTED</v>
      </c>
    </row>
    <row r="178" spans="1:2" x14ac:dyDescent="0.35">
      <c r="A178" t="s">
        <v>52</v>
      </c>
      <c r="B178" t="str">
        <f t="shared" si="2"/>
        <v>LRCX –</v>
      </c>
    </row>
    <row r="179" spans="1:2" x14ac:dyDescent="0.35">
      <c r="A179" t="s">
        <v>65</v>
      </c>
      <c r="B179" t="str">
        <f t="shared" si="2"/>
        <v>ASML –</v>
      </c>
    </row>
    <row r="180" spans="1:2" x14ac:dyDescent="0.35">
      <c r="A180" t="s">
        <v>70</v>
      </c>
      <c r="B180" t="str">
        <f t="shared" si="2"/>
        <v xml:space="preserve">ALB – </v>
      </c>
    </row>
    <row r="181" spans="1:2" x14ac:dyDescent="0.35">
      <c r="A181" t="s">
        <v>331</v>
      </c>
      <c r="B181" t="str">
        <f t="shared" si="2"/>
        <v xml:space="preserve">BAC - </v>
      </c>
    </row>
    <row r="182" spans="1:2" x14ac:dyDescent="0.35">
      <c r="A182" t="s">
        <v>338</v>
      </c>
      <c r="B182" t="str">
        <f t="shared" si="2"/>
        <v>INTU -</v>
      </c>
    </row>
    <row r="183" spans="1:2" x14ac:dyDescent="0.35">
      <c r="A183" t="s">
        <v>345</v>
      </c>
      <c r="B183" t="str">
        <f t="shared" si="2"/>
        <v xml:space="preserve">JPM - </v>
      </c>
    </row>
    <row r="184" spans="1:2" x14ac:dyDescent="0.35">
      <c r="A184" t="s">
        <v>352</v>
      </c>
      <c r="B184" t="str">
        <f t="shared" si="2"/>
        <v>COIN –</v>
      </c>
    </row>
    <row r="185" spans="1:2" x14ac:dyDescent="0.35">
      <c r="A185" t="s">
        <v>362</v>
      </c>
      <c r="B185" t="str">
        <f t="shared" si="2"/>
        <v>Rec 5</v>
      </c>
    </row>
    <row r="186" spans="1:2" x14ac:dyDescent="0.35">
      <c r="A186" t="s">
        <v>170</v>
      </c>
      <c r="B186" t="str">
        <f t="shared" si="2"/>
        <v xml:space="preserve">BOL – </v>
      </c>
    </row>
    <row r="187" spans="1:2" x14ac:dyDescent="0.35">
      <c r="A187" t="s">
        <v>82</v>
      </c>
      <c r="B187" t="str">
        <f t="shared" si="2"/>
        <v>VOLV-B</v>
      </c>
    </row>
    <row r="188" spans="1:2" x14ac:dyDescent="0.35">
      <c r="A188" t="s">
        <v>84</v>
      </c>
      <c r="B188" t="str">
        <f t="shared" si="2"/>
        <v xml:space="preserve">NOK – </v>
      </c>
    </row>
    <row r="189" spans="1:2" x14ac:dyDescent="0.35">
      <c r="A189" t="s">
        <v>38</v>
      </c>
      <c r="B189" t="str">
        <f t="shared" si="2"/>
        <v>SAND.S</v>
      </c>
    </row>
    <row r="190" spans="1:2" x14ac:dyDescent="0.35">
      <c r="A190" t="s">
        <v>100</v>
      </c>
      <c r="B190" t="str">
        <f t="shared" si="2"/>
        <v>INVE-B</v>
      </c>
    </row>
    <row r="191" spans="1:2" x14ac:dyDescent="0.35">
      <c r="A191" t="s">
        <v>106</v>
      </c>
      <c r="B191" t="str">
        <f t="shared" si="2"/>
        <v>BOL.ST</v>
      </c>
    </row>
    <row r="192" spans="1:2" x14ac:dyDescent="0.35">
      <c r="A192" t="s">
        <v>177</v>
      </c>
      <c r="B192" t="str">
        <f t="shared" si="2"/>
        <v xml:space="preserve">SEB_A </v>
      </c>
    </row>
    <row r="193" spans="1:2" x14ac:dyDescent="0.35">
      <c r="A193" t="s">
        <v>189</v>
      </c>
      <c r="B193" t="str">
        <f t="shared" si="2"/>
        <v>VOLV B</v>
      </c>
    </row>
    <row r="194" spans="1:2" x14ac:dyDescent="0.35">
      <c r="A194" t="s">
        <v>186</v>
      </c>
      <c r="B194" t="str">
        <f t="shared" si="2"/>
        <v xml:space="preserve">TELIA </v>
      </c>
    </row>
    <row r="195" spans="1:2" x14ac:dyDescent="0.35">
      <c r="A195" t="s">
        <v>37</v>
      </c>
      <c r="B195" t="str">
        <f t="shared" ref="B195:B230" si="3">LEFT(A195,6)</f>
        <v xml:space="preserve">SAP – </v>
      </c>
    </row>
    <row r="196" spans="1:2" x14ac:dyDescent="0.35">
      <c r="A196" t="s">
        <v>203</v>
      </c>
      <c r="B196" t="str">
        <f t="shared" si="3"/>
        <v xml:space="preserve">EXXON </v>
      </c>
    </row>
    <row r="197" spans="1:2" x14ac:dyDescent="0.35">
      <c r="A197" t="s">
        <v>186</v>
      </c>
      <c r="B197" t="str">
        <f t="shared" si="3"/>
        <v xml:space="preserve">TELIA </v>
      </c>
    </row>
    <row r="198" spans="1:2" x14ac:dyDescent="0.35">
      <c r="A198" t="s">
        <v>113</v>
      </c>
      <c r="B198" t="str">
        <f t="shared" si="3"/>
        <v>BOL.ST</v>
      </c>
    </row>
    <row r="199" spans="1:2" x14ac:dyDescent="0.35">
      <c r="A199" t="s">
        <v>113</v>
      </c>
      <c r="B199" t="str">
        <f t="shared" si="3"/>
        <v>BOL.ST</v>
      </c>
    </row>
    <row r="200" spans="1:2" x14ac:dyDescent="0.35">
      <c r="A200" t="s">
        <v>129</v>
      </c>
      <c r="B200" t="str">
        <f t="shared" si="3"/>
        <v xml:space="preserve">SKF – </v>
      </c>
    </row>
    <row r="201" spans="1:2" x14ac:dyDescent="0.35">
      <c r="A201" t="s">
        <v>113</v>
      </c>
      <c r="B201" t="str">
        <f t="shared" si="3"/>
        <v>BOL.ST</v>
      </c>
    </row>
    <row r="202" spans="1:2" x14ac:dyDescent="0.35">
      <c r="A202" t="s">
        <v>136</v>
      </c>
      <c r="B202" t="str">
        <f t="shared" si="3"/>
        <v xml:space="preserve">KBH – </v>
      </c>
    </row>
    <row r="203" spans="1:2" x14ac:dyDescent="0.35">
      <c r="A203" t="s">
        <v>144</v>
      </c>
      <c r="B203" t="str">
        <f t="shared" si="3"/>
        <v>SSAB B</v>
      </c>
    </row>
    <row r="204" spans="1:2" x14ac:dyDescent="0.35">
      <c r="A204" t="s">
        <v>156</v>
      </c>
      <c r="B204" t="str">
        <f t="shared" si="3"/>
        <v xml:space="preserve">SKLGF </v>
      </c>
    </row>
    <row r="205" spans="1:2" x14ac:dyDescent="0.35">
      <c r="A205" t="s">
        <v>1</v>
      </c>
      <c r="B205" t="str">
        <f t="shared" si="3"/>
        <v>Recs:</v>
      </c>
    </row>
    <row r="206" spans="1:2" x14ac:dyDescent="0.35">
      <c r="A206" t="s">
        <v>266</v>
      </c>
      <c r="B206" t="str">
        <f t="shared" si="3"/>
        <v>MP – M</v>
      </c>
    </row>
    <row r="207" spans="1:2" x14ac:dyDescent="0.35">
      <c r="A207" t="s">
        <v>278</v>
      </c>
      <c r="B207" t="str">
        <f t="shared" si="3"/>
        <v>SHEL –</v>
      </c>
    </row>
    <row r="208" spans="1:2" x14ac:dyDescent="0.35">
      <c r="A208" t="s">
        <v>290</v>
      </c>
      <c r="B208" t="str">
        <f t="shared" si="3"/>
        <v>ORCL –</v>
      </c>
    </row>
    <row r="209" spans="1:2" x14ac:dyDescent="0.35">
      <c r="A209" t="s">
        <v>302</v>
      </c>
      <c r="B209" t="str">
        <f t="shared" si="3"/>
        <v>BP – B</v>
      </c>
    </row>
    <row r="210" spans="1:2" x14ac:dyDescent="0.35">
      <c r="A210" t="s">
        <v>286</v>
      </c>
      <c r="B210" t="str">
        <f t="shared" si="3"/>
        <v>ERIC –</v>
      </c>
    </row>
    <row r="211" spans="1:2" x14ac:dyDescent="0.35">
      <c r="A211" t="s">
        <v>319</v>
      </c>
      <c r="B211" t="str">
        <f t="shared" si="3"/>
        <v>SHEL –</v>
      </c>
    </row>
    <row r="212" spans="1:2" x14ac:dyDescent="0.35">
      <c r="A212" t="s">
        <v>222</v>
      </c>
      <c r="B212" t="str">
        <f t="shared" si="3"/>
        <v>BABA –</v>
      </c>
    </row>
    <row r="213" spans="1:2" x14ac:dyDescent="0.35">
      <c r="A213" t="s">
        <v>12</v>
      </c>
      <c r="B213" t="str">
        <f t="shared" si="3"/>
        <v xml:space="preserve">AMD – </v>
      </c>
    </row>
    <row r="214" spans="1:2" x14ac:dyDescent="0.35">
      <c r="A214" t="s">
        <v>237</v>
      </c>
      <c r="B214" t="str">
        <f t="shared" si="3"/>
        <v>BA – B</v>
      </c>
    </row>
    <row r="215" spans="1:2" x14ac:dyDescent="0.35">
      <c r="A215" t="s">
        <v>244</v>
      </c>
      <c r="B215" t="str">
        <f t="shared" si="3"/>
        <v xml:space="preserve">GOOGL </v>
      </c>
    </row>
    <row r="216" spans="1:2" x14ac:dyDescent="0.35">
      <c r="A216" t="s">
        <v>251</v>
      </c>
      <c r="B216" t="str">
        <f t="shared" si="3"/>
        <v xml:space="preserve">XOM – </v>
      </c>
    </row>
    <row r="217" spans="1:2" x14ac:dyDescent="0.35">
      <c r="A217" t="s">
        <v>241</v>
      </c>
      <c r="B217" t="str">
        <f t="shared" si="3"/>
        <v>AAPL –</v>
      </c>
    </row>
    <row r="218" spans="1:2" x14ac:dyDescent="0.35">
      <c r="A218" t="s">
        <v>262</v>
      </c>
      <c r="B218" t="str">
        <f t="shared" si="3"/>
        <v>TELIA.</v>
      </c>
    </row>
    <row r="219" spans="1:2" x14ac:dyDescent="0.35">
      <c r="A219" t="s">
        <v>162</v>
      </c>
      <c r="B219" t="str">
        <f t="shared" si="3"/>
        <v>SKFB.S</v>
      </c>
    </row>
    <row r="220" spans="1:2" x14ac:dyDescent="0.35">
      <c r="A220" t="s">
        <v>6</v>
      </c>
      <c r="B220" t="str">
        <f t="shared" si="3"/>
        <v>VOLCAR</v>
      </c>
    </row>
    <row r="221" spans="1:2" x14ac:dyDescent="0.35">
      <c r="A221" t="s">
        <v>15</v>
      </c>
      <c r="B221" t="str">
        <f t="shared" si="3"/>
        <v>HUFV-A</v>
      </c>
    </row>
    <row r="222" spans="1:2" x14ac:dyDescent="0.35">
      <c r="A222" t="s">
        <v>27</v>
      </c>
      <c r="B222" t="str">
        <f t="shared" si="3"/>
        <v xml:space="preserve">TAK – </v>
      </c>
    </row>
    <row r="223" spans="1:2" x14ac:dyDescent="0.35">
      <c r="A223" t="s">
        <v>40</v>
      </c>
      <c r="B223" t="str">
        <f t="shared" si="3"/>
        <v>TSLA –</v>
      </c>
    </row>
    <row r="224" spans="1:2" x14ac:dyDescent="0.35">
      <c r="A224" t="s">
        <v>53</v>
      </c>
      <c r="B224" t="str">
        <f t="shared" si="3"/>
        <v>ASML –</v>
      </c>
    </row>
    <row r="225" spans="1:2" x14ac:dyDescent="0.35">
      <c r="A225" t="s">
        <v>66</v>
      </c>
      <c r="B225" t="str">
        <f t="shared" si="3"/>
        <v>ALLIGO</v>
      </c>
    </row>
    <row r="226" spans="1:2" x14ac:dyDescent="0.35">
      <c r="A226" t="s">
        <v>71</v>
      </c>
      <c r="B226" t="str">
        <f t="shared" si="3"/>
        <v xml:space="preserve">PTC – </v>
      </c>
    </row>
    <row r="227" spans="1:2" x14ac:dyDescent="0.35">
      <c r="A227" t="s">
        <v>332</v>
      </c>
      <c r="B227" t="str">
        <f t="shared" si="3"/>
        <v xml:space="preserve">XOM - </v>
      </c>
    </row>
    <row r="228" spans="1:2" x14ac:dyDescent="0.35">
      <c r="A228" t="s">
        <v>339</v>
      </c>
      <c r="B228" t="str">
        <f t="shared" si="3"/>
        <v>ALNT -</v>
      </c>
    </row>
    <row r="229" spans="1:2" x14ac:dyDescent="0.35">
      <c r="A229" t="s">
        <v>346</v>
      </c>
      <c r="B229" t="str">
        <f t="shared" si="3"/>
        <v xml:space="preserve">WBD - </v>
      </c>
    </row>
    <row r="230" spans="1:2" x14ac:dyDescent="0.35">
      <c r="A230" t="s">
        <v>353</v>
      </c>
      <c r="B230" t="str">
        <f t="shared" si="3"/>
        <v xml:space="preserve">CRH – 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CA28-84D8-4539-8A31-CCD8A5DA3FF3}">
  <dimension ref="A1:H14"/>
  <sheetViews>
    <sheetView workbookViewId="0">
      <selection activeCell="A15" sqref="A15"/>
    </sheetView>
  </sheetViews>
  <sheetFormatPr defaultRowHeight="14.5" x14ac:dyDescent="0.35"/>
  <sheetData>
    <row r="1" spans="1:8" x14ac:dyDescent="0.35">
      <c r="A1" s="3" t="s">
        <v>363</v>
      </c>
      <c r="B1" s="3"/>
      <c r="C1" s="3"/>
      <c r="D1" s="3"/>
      <c r="E1" s="3"/>
      <c r="F1" s="3"/>
      <c r="G1" s="3"/>
      <c r="H1" s="3"/>
    </row>
    <row r="2" spans="1:8" x14ac:dyDescent="0.35">
      <c r="A2" s="3"/>
      <c r="B2" s="3"/>
      <c r="C2" s="3"/>
      <c r="D2" s="3"/>
      <c r="E2" s="3"/>
      <c r="F2" s="3"/>
      <c r="G2" s="3"/>
      <c r="H2" s="3"/>
    </row>
    <row r="3" spans="1:8" x14ac:dyDescent="0.35">
      <c r="A3" t="s">
        <v>364</v>
      </c>
    </row>
    <row r="4" spans="1:8" x14ac:dyDescent="0.35">
      <c r="A4" t="s">
        <v>365</v>
      </c>
    </row>
    <row r="6" spans="1:8" x14ac:dyDescent="0.35">
      <c r="A6" t="s">
        <v>1</v>
      </c>
    </row>
    <row r="7" spans="1:8" x14ac:dyDescent="0.35">
      <c r="A7" t="s">
        <v>366</v>
      </c>
    </row>
    <row r="8" spans="1:8" x14ac:dyDescent="0.35">
      <c r="A8" t="s">
        <v>366</v>
      </c>
    </row>
    <row r="9" spans="1:8" x14ac:dyDescent="0.35">
      <c r="A9" t="s">
        <v>366</v>
      </c>
    </row>
    <row r="10" spans="1:8" x14ac:dyDescent="0.35">
      <c r="A10" t="s">
        <v>366</v>
      </c>
    </row>
    <row r="11" spans="1:8" x14ac:dyDescent="0.35">
      <c r="A11" t="s">
        <v>366</v>
      </c>
    </row>
    <row r="14" spans="1:8" x14ac:dyDescent="0.35">
      <c r="A14" t="s">
        <v>367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Sum and Cleaner</vt:lpstr>
      <vt:lpstr>Clean</vt:lpstr>
      <vt:lpstr>List to fetch</vt:lpstr>
      <vt:lpstr>changed on 161225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Alp Yilmaz</dc:creator>
  <cp:lastModifiedBy>Berk Alp Yilmaz</cp:lastModifiedBy>
  <dcterms:created xsi:type="dcterms:W3CDTF">2025-12-16T00:27:24Z</dcterms:created>
  <dcterms:modified xsi:type="dcterms:W3CDTF">2025-12-16T01:03:50Z</dcterms:modified>
</cp:coreProperties>
</file>