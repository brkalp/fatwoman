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5GB\Ad_hoc\"/>
    </mc:Choice>
  </mc:AlternateContent>
  <xr:revisionPtr revIDLastSave="0" documentId="13_ncr:1_{B5E9C023-EB6A-42EE-97B7-CEA97B1647D3}" xr6:coauthVersionLast="47" xr6:coauthVersionMax="47" xr10:uidLastSave="{00000000-0000-0000-0000-000000000000}"/>
  <bookViews>
    <workbookView xWindow="-110" yWindow="-110" windowWidth="38620" windowHeight="21100" activeTab="1" xr2:uid="{EE44444B-B949-44B9-A5F7-2F0FA12E8D46}"/>
  </bookViews>
  <sheets>
    <sheet name="llm reader copy paste from py" sheetId="3" r:id="rId1"/>
    <sheet name="new" sheetId="2" r:id="rId2"/>
    <sheet name="edit" sheetId="1" r:id="rId3"/>
  </sheets>
  <definedNames>
    <definedName name="_xlnm._FilterDatabase" localSheetId="2" hidden="1">edit!$A$1:$O$266</definedName>
    <definedName name="_xlnm._FilterDatabase" localSheetId="0" hidden="1">'llm reader copy paste from py'!$A$1:$D$195</definedName>
    <definedName name="_xlnm._FilterDatabase" localSheetId="1" hidden="1">new!$A$1:$N$266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2" l="1"/>
  <c r="P266" i="1"/>
  <c r="P265" i="1"/>
  <c r="P264" i="1"/>
  <c r="P263" i="1"/>
  <c r="P262" i="1"/>
  <c r="P261" i="1"/>
  <c r="P260" i="1"/>
  <c r="P259" i="1"/>
  <c r="P258" i="1"/>
  <c r="P257" i="1"/>
  <c r="P256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F225" i="1" s="1"/>
  <c r="E225" i="2" s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F125" i="1" s="1"/>
  <c r="E125" i="2" s="1"/>
  <c r="P124" i="1"/>
  <c r="P123" i="1"/>
  <c r="P122" i="1"/>
  <c r="P121" i="1"/>
  <c r="F131" i="1"/>
  <c r="E131" i="2" s="1"/>
  <c r="F123" i="1"/>
  <c r="E123" i="2" s="1"/>
  <c r="P255" i="1"/>
  <c r="C266" i="2"/>
  <c r="C264" i="2"/>
  <c r="C263" i="2"/>
  <c r="C262" i="2"/>
  <c r="C255" i="2"/>
  <c r="C256" i="2"/>
  <c r="C238" i="2"/>
  <c r="C235" i="2"/>
  <c r="C223" i="2"/>
  <c r="E64" i="3"/>
  <c r="F64" i="3"/>
  <c r="G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F249" i="1"/>
  <c r="E249" i="2" s="1"/>
  <c r="F217" i="1"/>
  <c r="E217" i="2" s="1"/>
  <c r="F215" i="1"/>
  <c r="E215" i="2" s="1"/>
  <c r="F216" i="1" l="1"/>
  <c r="E216" i="2" s="1"/>
  <c r="F218" i="1"/>
  <c r="E218" i="2" s="1"/>
  <c r="F147" i="1"/>
  <c r="E147" i="2" s="1"/>
  <c r="F163" i="1"/>
  <c r="E163" i="2" s="1"/>
  <c r="F179" i="1"/>
  <c r="E179" i="2" s="1"/>
  <c r="F203" i="1"/>
  <c r="E203" i="2" s="1"/>
  <c r="F219" i="1"/>
  <c r="E219" i="2" s="1"/>
  <c r="F139" i="1"/>
  <c r="E139" i="2" s="1"/>
  <c r="F155" i="1"/>
  <c r="E155" i="2" s="1"/>
  <c r="F171" i="1"/>
  <c r="E171" i="2" s="1"/>
  <c r="F195" i="1"/>
  <c r="E195" i="2" s="1"/>
  <c r="F212" i="1"/>
  <c r="E212" i="2" s="1"/>
  <c r="F220" i="1"/>
  <c r="E220" i="2" s="1"/>
  <c r="F133" i="1"/>
  <c r="E133" i="2" s="1"/>
  <c r="F141" i="1"/>
  <c r="E141" i="2" s="1"/>
  <c r="F149" i="1"/>
  <c r="E149" i="2" s="1"/>
  <c r="F213" i="1"/>
  <c r="E213" i="2" s="1"/>
  <c r="F221" i="1"/>
  <c r="E221" i="2" s="1"/>
  <c r="F214" i="1"/>
  <c r="E214" i="2" s="1"/>
  <c r="F222" i="1"/>
  <c r="E222" i="2" s="1"/>
  <c r="F230" i="1"/>
  <c r="E230" i="2" s="1"/>
  <c r="F238" i="1"/>
  <c r="E238" i="2" s="1"/>
  <c r="F246" i="1"/>
  <c r="E246" i="2" s="1"/>
  <c r="F254" i="1"/>
  <c r="E254" i="2" s="1"/>
  <c r="F262" i="1"/>
  <c r="F223" i="1"/>
  <c r="E223" i="2" s="1"/>
  <c r="F231" i="1"/>
  <c r="E231" i="2" s="1"/>
  <c r="F239" i="1"/>
  <c r="E239" i="2" s="1"/>
  <c r="F247" i="1"/>
  <c r="E247" i="2" s="1"/>
  <c r="F255" i="1"/>
  <c r="E255" i="2" s="1"/>
  <c r="F263" i="1"/>
  <c r="F224" i="1"/>
  <c r="E224" i="2" s="1"/>
  <c r="F232" i="1"/>
  <c r="E232" i="2" s="1"/>
  <c r="F240" i="1"/>
  <c r="E240" i="2" s="1"/>
  <c r="F248" i="1"/>
  <c r="E248" i="2" s="1"/>
  <c r="F256" i="1"/>
  <c r="E256" i="2" s="1"/>
  <c r="F264" i="1"/>
  <c r="F257" i="1"/>
  <c r="E257" i="2" s="1"/>
  <c r="F265" i="1"/>
  <c r="F233" i="1"/>
  <c r="E233" i="2" s="1"/>
  <c r="F241" i="1"/>
  <c r="E241" i="2" s="1"/>
  <c r="F226" i="1"/>
  <c r="E226" i="2" s="1"/>
  <c r="F234" i="1"/>
  <c r="E234" i="2" s="1"/>
  <c r="F242" i="1"/>
  <c r="E242" i="2" s="1"/>
  <c r="F250" i="1"/>
  <c r="E250" i="2" s="1"/>
  <c r="F258" i="1"/>
  <c r="E258" i="2" s="1"/>
  <c r="F266" i="1"/>
  <c r="F187" i="1"/>
  <c r="E187" i="2" s="1"/>
  <c r="F211" i="1"/>
  <c r="E211" i="2" s="1"/>
  <c r="F227" i="1"/>
  <c r="E227" i="2" s="1"/>
  <c r="F235" i="1"/>
  <c r="E235" i="2" s="1"/>
  <c r="F243" i="1"/>
  <c r="E243" i="2" s="1"/>
  <c r="F251" i="1"/>
  <c r="E251" i="2" s="1"/>
  <c r="F259" i="1"/>
  <c r="E259" i="2" s="1"/>
  <c r="F228" i="1"/>
  <c r="E228" i="2" s="1"/>
  <c r="F236" i="1"/>
  <c r="E236" i="2" s="1"/>
  <c r="F244" i="1"/>
  <c r="E244" i="2" s="1"/>
  <c r="F252" i="1"/>
  <c r="E252" i="2" s="1"/>
  <c r="F260" i="1"/>
  <c r="E260" i="2" s="1"/>
  <c r="F229" i="1"/>
  <c r="E229" i="2" s="1"/>
  <c r="F237" i="1"/>
  <c r="E237" i="2" s="1"/>
  <c r="F245" i="1"/>
  <c r="E245" i="2" s="1"/>
  <c r="F253" i="1"/>
  <c r="E253" i="2" s="1"/>
  <c r="F261" i="1"/>
  <c r="E261" i="2" s="1"/>
  <c r="F124" i="1"/>
  <c r="E124" i="2" s="1"/>
  <c r="F132" i="1"/>
  <c r="E132" i="2" s="1"/>
  <c r="F140" i="1"/>
  <c r="E140" i="2" s="1"/>
  <c r="F148" i="1"/>
  <c r="E148" i="2" s="1"/>
  <c r="F156" i="1"/>
  <c r="E156" i="2" s="1"/>
  <c r="F164" i="1"/>
  <c r="E164" i="2" s="1"/>
  <c r="F172" i="1"/>
  <c r="E172" i="2" s="1"/>
  <c r="F180" i="1"/>
  <c r="E180" i="2" s="1"/>
  <c r="F188" i="1"/>
  <c r="E188" i="2" s="1"/>
  <c r="F196" i="1"/>
  <c r="E196" i="2" s="1"/>
  <c r="F204" i="1"/>
  <c r="E204" i="2" s="1"/>
  <c r="F165" i="1"/>
  <c r="E165" i="2" s="1"/>
  <c r="F189" i="1"/>
  <c r="E189" i="2" s="1"/>
  <c r="F205" i="1"/>
  <c r="E205" i="2" s="1"/>
  <c r="F126" i="1"/>
  <c r="E126" i="2" s="1"/>
  <c r="F134" i="1"/>
  <c r="E134" i="2" s="1"/>
  <c r="F142" i="1"/>
  <c r="E142" i="2" s="1"/>
  <c r="F150" i="1"/>
  <c r="E150" i="2" s="1"/>
  <c r="F158" i="1"/>
  <c r="E158" i="2" s="1"/>
  <c r="F166" i="1"/>
  <c r="E166" i="2" s="1"/>
  <c r="F174" i="1"/>
  <c r="E174" i="2" s="1"/>
  <c r="F182" i="1"/>
  <c r="E182" i="2" s="1"/>
  <c r="F190" i="1"/>
  <c r="E190" i="2" s="1"/>
  <c r="F198" i="1"/>
  <c r="E198" i="2" s="1"/>
  <c r="F206" i="1"/>
  <c r="E206" i="2" s="1"/>
  <c r="F157" i="1"/>
  <c r="E157" i="2" s="1"/>
  <c r="F173" i="1"/>
  <c r="E173" i="2" s="1"/>
  <c r="F181" i="1"/>
  <c r="E181" i="2" s="1"/>
  <c r="F197" i="1"/>
  <c r="E197" i="2" s="1"/>
  <c r="F127" i="1"/>
  <c r="E127" i="2" s="1"/>
  <c r="F135" i="1"/>
  <c r="E135" i="2" s="1"/>
  <c r="F143" i="1"/>
  <c r="E143" i="2" s="1"/>
  <c r="F151" i="1"/>
  <c r="E151" i="2" s="1"/>
  <c r="F159" i="1"/>
  <c r="E159" i="2" s="1"/>
  <c r="F167" i="1"/>
  <c r="E167" i="2" s="1"/>
  <c r="F175" i="1"/>
  <c r="E175" i="2" s="1"/>
  <c r="F183" i="1"/>
  <c r="E183" i="2" s="1"/>
  <c r="F191" i="1"/>
  <c r="E191" i="2" s="1"/>
  <c r="F199" i="1"/>
  <c r="E199" i="2" s="1"/>
  <c r="F207" i="1"/>
  <c r="E207" i="2" s="1"/>
  <c r="F128" i="1"/>
  <c r="E128" i="2" s="1"/>
  <c r="F136" i="1"/>
  <c r="E136" i="2" s="1"/>
  <c r="F144" i="1"/>
  <c r="E144" i="2" s="1"/>
  <c r="F152" i="1"/>
  <c r="E152" i="2" s="1"/>
  <c r="F160" i="1"/>
  <c r="E160" i="2" s="1"/>
  <c r="F168" i="1"/>
  <c r="E168" i="2" s="1"/>
  <c r="F176" i="1"/>
  <c r="E176" i="2" s="1"/>
  <c r="F184" i="1"/>
  <c r="E184" i="2" s="1"/>
  <c r="F192" i="1"/>
  <c r="E192" i="2" s="1"/>
  <c r="F200" i="1"/>
  <c r="E200" i="2" s="1"/>
  <c r="F208" i="1"/>
  <c r="E208" i="2" s="1"/>
  <c r="F121" i="1"/>
  <c r="F129" i="1"/>
  <c r="E129" i="2" s="1"/>
  <c r="F137" i="1"/>
  <c r="E137" i="2" s="1"/>
  <c r="F145" i="1"/>
  <c r="E145" i="2" s="1"/>
  <c r="F153" i="1"/>
  <c r="E153" i="2" s="1"/>
  <c r="F161" i="1"/>
  <c r="E161" i="2" s="1"/>
  <c r="F169" i="1"/>
  <c r="E169" i="2" s="1"/>
  <c r="F177" i="1"/>
  <c r="E177" i="2" s="1"/>
  <c r="F185" i="1"/>
  <c r="E185" i="2" s="1"/>
  <c r="F193" i="1"/>
  <c r="E193" i="2" s="1"/>
  <c r="F201" i="1"/>
  <c r="E201" i="2" s="1"/>
  <c r="F209" i="1"/>
  <c r="E209" i="2" s="1"/>
  <c r="F122" i="1"/>
  <c r="E122" i="2" s="1"/>
  <c r="F130" i="1"/>
  <c r="E130" i="2" s="1"/>
  <c r="F138" i="1"/>
  <c r="E138" i="2" s="1"/>
  <c r="F146" i="1"/>
  <c r="E146" i="2" s="1"/>
  <c r="F154" i="1"/>
  <c r="E154" i="2" s="1"/>
  <c r="F162" i="1"/>
  <c r="E162" i="2" s="1"/>
  <c r="F170" i="1"/>
  <c r="E170" i="2" s="1"/>
  <c r="F178" i="1"/>
  <c r="E178" i="2" s="1"/>
  <c r="F186" i="1"/>
  <c r="E186" i="2" s="1"/>
  <c r="F194" i="1"/>
  <c r="E194" i="2" s="1"/>
  <c r="F202" i="1"/>
  <c r="E202" i="2" s="1"/>
  <c r="F210" i="1"/>
  <c r="E210" i="2" s="1"/>
</calcChain>
</file>

<file path=xl/sharedStrings.xml><?xml version="1.0" encoding="utf-8"?>
<sst xmlns="http://schemas.openxmlformats.org/spreadsheetml/2006/main" count="1950" uniqueCount="111">
  <si>
    <t>Date</t>
  </si>
  <si>
    <t>Ticker</t>
  </si>
  <si>
    <t>id</t>
  </si>
  <si>
    <t>order</t>
  </si>
  <si>
    <t>order_amount</t>
  </si>
  <si>
    <t>Open</t>
  </si>
  <si>
    <t>High</t>
  </si>
  <si>
    <t>Low</t>
  </si>
  <si>
    <t>Close</t>
  </si>
  <si>
    <t>profit_made</t>
  </si>
  <si>
    <t>flow_name</t>
  </si>
  <si>
    <t>Daily_return_pct</t>
  </si>
  <si>
    <t>Intraday_Return</t>
  </si>
  <si>
    <t>MSFT</t>
  </si>
  <si>
    <t>bullish</t>
  </si>
  <si>
    <t>trade_flow_v1</t>
  </si>
  <si>
    <t>TSLA</t>
  </si>
  <si>
    <t>bearish</t>
  </si>
  <si>
    <t>HON</t>
  </si>
  <si>
    <t>AAL</t>
  </si>
  <si>
    <t>AMD</t>
  </si>
  <si>
    <t>neutral</t>
  </si>
  <si>
    <t>GM</t>
  </si>
  <si>
    <t>PG</t>
  </si>
  <si>
    <t>PFE</t>
  </si>
  <si>
    <t>DYN</t>
  </si>
  <si>
    <t>LULU</t>
  </si>
  <si>
    <t>NVDA</t>
  </si>
  <si>
    <t>AAPL</t>
  </si>
  <si>
    <t>AMZN</t>
  </si>
  <si>
    <t>UAL</t>
  </si>
  <si>
    <t>PYPL</t>
  </si>
  <si>
    <t>NOW</t>
  </si>
  <si>
    <t>CVNA</t>
  </si>
  <si>
    <t>SBUX</t>
  </si>
  <si>
    <t>CAT</t>
  </si>
  <si>
    <t>NFLX</t>
  </si>
  <si>
    <t>RBLX</t>
  </si>
  <si>
    <t>EL</t>
  </si>
  <si>
    <t>NXPI</t>
  </si>
  <si>
    <t>LRCX</t>
  </si>
  <si>
    <t>META</t>
  </si>
  <si>
    <t>QCOM</t>
  </si>
  <si>
    <t>GOOG</t>
  </si>
  <si>
    <t>PTON</t>
  </si>
  <si>
    <t>SPOT</t>
  </si>
  <si>
    <t>PZZA</t>
  </si>
  <si>
    <t>RIVN</t>
  </si>
  <si>
    <t>COST</t>
  </si>
  <si>
    <t>LYFT</t>
  </si>
  <si>
    <t>ROKU</t>
  </si>
  <si>
    <t>EXPE</t>
  </si>
  <si>
    <t>DOORDASH</t>
  </si>
  <si>
    <t>MCD</t>
  </si>
  <si>
    <t>PENN</t>
  </si>
  <si>
    <t>CLOV</t>
  </si>
  <si>
    <t>TSM</t>
  </si>
  <si>
    <t>AMGN</t>
  </si>
  <si>
    <t>CSCO</t>
  </si>
  <si>
    <t>IBM</t>
  </si>
  <si>
    <t>F</t>
  </si>
  <si>
    <t>NKE</t>
  </si>
  <si>
    <t>MU</t>
  </si>
  <si>
    <t>DIS</t>
  </si>
  <si>
    <t>GOOGL</t>
  </si>
  <si>
    <t>ADBE</t>
  </si>
  <si>
    <t>BLOCK</t>
  </si>
  <si>
    <t>CRM</t>
  </si>
  <si>
    <t>ORCL</t>
  </si>
  <si>
    <t>SQ</t>
  </si>
  <si>
    <t>ROST</t>
  </si>
  <si>
    <t>GPS</t>
  </si>
  <si>
    <t>TJX</t>
  </si>
  <si>
    <t>LOW</t>
  </si>
  <si>
    <t>FB</t>
  </si>
  <si>
    <t>KOHL</t>
  </si>
  <si>
    <t>PARAA</t>
  </si>
  <si>
    <t>NVIDIA</t>
  </si>
  <si>
    <t>ALPHABET</t>
  </si>
  <si>
    <t>APPLE</t>
  </si>
  <si>
    <t>SOFTBANK</t>
  </si>
  <si>
    <t>KSS</t>
  </si>
  <si>
    <t>SPY</t>
  </si>
  <si>
    <t>DASH</t>
  </si>
  <si>
    <t>DYNE</t>
  </si>
  <si>
    <t>MS</t>
  </si>
  <si>
    <t>JEF</t>
  </si>
  <si>
    <t>DJT</t>
  </si>
  <si>
    <t>YUM</t>
  </si>
  <si>
    <t>NEE</t>
  </si>
  <si>
    <t>FSLR</t>
  </si>
  <si>
    <t>SMCI</t>
  </si>
  <si>
    <t>MSTR</t>
  </si>
  <si>
    <t>COIN</t>
  </si>
  <si>
    <t>TTWO</t>
  </si>
  <si>
    <t>APP</t>
  </si>
  <si>
    <t>EAT</t>
  </si>
  <si>
    <t>DELL</t>
  </si>
  <si>
    <t>WMT</t>
  </si>
  <si>
    <t>HUM</t>
  </si>
  <si>
    <t>FICO</t>
  </si>
  <si>
    <t>CBRL</t>
  </si>
  <si>
    <t>INTC</t>
  </si>
  <si>
    <t>CRWD</t>
  </si>
  <si>
    <t>confidence</t>
  </si>
  <si>
    <t>tendency</t>
  </si>
  <si>
    <t>ticker</t>
  </si>
  <si>
    <t>folder_name</t>
  </si>
  <si>
    <t>NEW TICKET</t>
  </si>
  <si>
    <t>OLD TICKER</t>
  </si>
  <si>
    <t>SFTBY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</si>
</sst>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6" fontId="0" fillId="0" borderId="0" xfId="0" applyNumberFormat="1"/>
    <xf numFmtId="0" fontId="0" fillId="3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14" fontId="0" fillId="4" borderId="0" xfId="0" applyNumberFormat="1" applyFill="1"/>
    <xf numFmtId="14" fontId="0" fillId="3" borderId="0" xfId="0" applyNumberFormat="1" applyFill="1"/>
    <xf numFmtId="166" fontId="0" fillId="3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31B2-BA1A-4173-9163-724C706483C2}">
  <dimension ref="A1:G195"/>
  <sheetViews>
    <sheetView workbookViewId="0">
      <pane ySplit="1" topLeftCell="A140" activePane="bottomLeft" state="frozen"/>
      <selection pane="bottomLeft" activeCell="A196" sqref="A196"/>
    </sheetView>
  </sheetViews>
  <sheetFormatPr defaultRowHeight="14.5" x14ac:dyDescent="0.35"/>
  <cols>
    <col min="1" max="1" width="10.81640625" bestFit="1" customWidth="1"/>
    <col min="5" max="5" width="15.08984375" bestFit="1" customWidth="1"/>
    <col min="6" max="6" width="6.81640625" bestFit="1" customWidth="1"/>
  </cols>
  <sheetData>
    <row r="1" spans="1:4" x14ac:dyDescent="0.35">
      <c r="A1" t="s">
        <v>107</v>
      </c>
      <c r="B1" t="s">
        <v>106</v>
      </c>
      <c r="C1" t="s">
        <v>105</v>
      </c>
      <c r="D1" t="s">
        <v>104</v>
      </c>
    </row>
    <row r="2" spans="1:4" x14ac:dyDescent="0.35">
      <c r="A2" s="1">
        <v>45922</v>
      </c>
      <c r="B2" s="7" t="s">
        <v>28</v>
      </c>
      <c r="C2" t="s">
        <v>17</v>
      </c>
      <c r="D2">
        <v>65</v>
      </c>
    </row>
    <row r="3" spans="1:4" x14ac:dyDescent="0.35">
      <c r="A3" s="1">
        <v>45922</v>
      </c>
      <c r="B3" s="7" t="s">
        <v>29</v>
      </c>
      <c r="C3" t="s">
        <v>21</v>
      </c>
      <c r="D3">
        <v>70</v>
      </c>
    </row>
    <row r="4" spans="1:4" x14ac:dyDescent="0.35">
      <c r="A4" s="1">
        <v>45922</v>
      </c>
      <c r="B4" s="7" t="s">
        <v>64</v>
      </c>
      <c r="C4" t="s">
        <v>21</v>
      </c>
      <c r="D4">
        <v>65</v>
      </c>
    </row>
    <row r="5" spans="1:4" x14ac:dyDescent="0.35">
      <c r="A5" s="1">
        <v>45922</v>
      </c>
      <c r="B5" s="7" t="s">
        <v>13</v>
      </c>
      <c r="C5" t="s">
        <v>17</v>
      </c>
      <c r="D5">
        <v>70</v>
      </c>
    </row>
    <row r="6" spans="1:4" x14ac:dyDescent="0.35">
      <c r="A6" s="1">
        <v>45922</v>
      </c>
      <c r="B6" s="7" t="s">
        <v>27</v>
      </c>
      <c r="C6" t="s">
        <v>17</v>
      </c>
      <c r="D6">
        <v>70</v>
      </c>
    </row>
    <row r="7" spans="1:4" x14ac:dyDescent="0.35">
      <c r="A7" s="3">
        <v>45931</v>
      </c>
      <c r="B7" s="7" t="s">
        <v>103</v>
      </c>
      <c r="C7" t="s">
        <v>14</v>
      </c>
      <c r="D7">
        <v>65</v>
      </c>
    </row>
    <row r="8" spans="1:4" x14ac:dyDescent="0.35">
      <c r="A8" s="3">
        <v>45931</v>
      </c>
      <c r="B8" s="7" t="s">
        <v>59</v>
      </c>
      <c r="C8" t="s">
        <v>17</v>
      </c>
      <c r="D8">
        <v>64</v>
      </c>
    </row>
    <row r="9" spans="1:4" x14ac:dyDescent="0.35">
      <c r="A9" s="3">
        <v>45931</v>
      </c>
      <c r="B9" s="7" t="s">
        <v>53</v>
      </c>
      <c r="C9" t="s">
        <v>17</v>
      </c>
      <c r="D9">
        <v>62</v>
      </c>
    </row>
    <row r="10" spans="1:4" x14ac:dyDescent="0.35">
      <c r="A10" s="3">
        <v>45931</v>
      </c>
      <c r="B10" s="7" t="s">
        <v>13</v>
      </c>
      <c r="C10" t="s">
        <v>14</v>
      </c>
      <c r="D10">
        <v>63</v>
      </c>
    </row>
    <row r="11" spans="1:4" x14ac:dyDescent="0.35">
      <c r="A11" s="3">
        <v>45931</v>
      </c>
      <c r="B11" s="7" t="s">
        <v>27</v>
      </c>
      <c r="C11" t="s">
        <v>17</v>
      </c>
      <c r="D11">
        <v>62</v>
      </c>
    </row>
    <row r="12" spans="1:4" x14ac:dyDescent="0.35">
      <c r="A12" s="3">
        <v>45932</v>
      </c>
      <c r="B12" s="7" t="s">
        <v>102</v>
      </c>
      <c r="C12" t="s">
        <v>17</v>
      </c>
      <c r="D12">
        <v>65</v>
      </c>
    </row>
    <row r="13" spans="1:4" x14ac:dyDescent="0.35">
      <c r="A13" s="3">
        <v>45932</v>
      </c>
      <c r="B13" s="7" t="s">
        <v>13</v>
      </c>
      <c r="C13" t="s">
        <v>21</v>
      </c>
      <c r="D13">
        <v>62</v>
      </c>
    </row>
    <row r="14" spans="1:4" x14ac:dyDescent="0.35">
      <c r="A14" s="3">
        <v>45932</v>
      </c>
      <c r="B14" s="7" t="s">
        <v>61</v>
      </c>
      <c r="C14" t="s">
        <v>14</v>
      </c>
      <c r="D14">
        <v>58</v>
      </c>
    </row>
    <row r="15" spans="1:4" x14ac:dyDescent="0.35">
      <c r="A15" s="3">
        <v>45932</v>
      </c>
      <c r="B15" s="7" t="s">
        <v>27</v>
      </c>
      <c r="C15" t="s">
        <v>14</v>
      </c>
      <c r="D15">
        <v>64</v>
      </c>
    </row>
    <row r="16" spans="1:4" x14ac:dyDescent="0.35">
      <c r="A16" s="3">
        <v>45932</v>
      </c>
      <c r="B16" s="7" t="s">
        <v>16</v>
      </c>
      <c r="C16" t="s">
        <v>17</v>
      </c>
      <c r="D16">
        <v>62</v>
      </c>
    </row>
    <row r="17" spans="1:4" x14ac:dyDescent="0.35">
      <c r="A17" s="3">
        <v>45933</v>
      </c>
      <c r="B17" s="7" t="s">
        <v>101</v>
      </c>
      <c r="C17" t="s">
        <v>17</v>
      </c>
      <c r="D17">
        <v>62</v>
      </c>
    </row>
    <row r="18" spans="1:4" x14ac:dyDescent="0.35">
      <c r="A18" s="3">
        <v>45933</v>
      </c>
      <c r="B18" s="7" t="s">
        <v>83</v>
      </c>
      <c r="C18" t="s">
        <v>17</v>
      </c>
      <c r="D18">
        <v>58</v>
      </c>
    </row>
    <row r="19" spans="1:4" x14ac:dyDescent="0.35">
      <c r="A19" s="3">
        <v>45933</v>
      </c>
      <c r="B19" s="7" t="s">
        <v>100</v>
      </c>
      <c r="C19" t="s">
        <v>14</v>
      </c>
      <c r="D19">
        <v>65</v>
      </c>
    </row>
    <row r="20" spans="1:4" x14ac:dyDescent="0.35">
      <c r="A20" s="3">
        <v>45933</v>
      </c>
      <c r="B20" t="s">
        <v>99</v>
      </c>
      <c r="C20" t="s">
        <v>17</v>
      </c>
      <c r="D20">
        <v>60</v>
      </c>
    </row>
    <row r="21" spans="1:4" x14ac:dyDescent="0.35">
      <c r="A21" s="3">
        <v>45933</v>
      </c>
      <c r="B21" s="7" t="s">
        <v>98</v>
      </c>
      <c r="C21" t="s">
        <v>17</v>
      </c>
      <c r="D21">
        <v>62</v>
      </c>
    </row>
    <row r="22" spans="1:4" x14ac:dyDescent="0.35">
      <c r="A22" s="3">
        <v>45934</v>
      </c>
      <c r="B22" s="7" t="s">
        <v>97</v>
      </c>
      <c r="C22" t="s">
        <v>17</v>
      </c>
      <c r="D22">
        <v>62</v>
      </c>
    </row>
    <row r="23" spans="1:4" x14ac:dyDescent="0.35">
      <c r="A23" s="3">
        <v>45934</v>
      </c>
      <c r="B23" s="7" t="s">
        <v>13</v>
      </c>
      <c r="C23" t="s">
        <v>14</v>
      </c>
      <c r="D23">
        <v>63</v>
      </c>
    </row>
    <row r="24" spans="1:4" x14ac:dyDescent="0.35">
      <c r="A24" s="3">
        <v>45934</v>
      </c>
      <c r="B24" s="7" t="s">
        <v>27</v>
      </c>
      <c r="C24" t="s">
        <v>17</v>
      </c>
      <c r="D24">
        <v>62</v>
      </c>
    </row>
    <row r="25" spans="1:4" x14ac:dyDescent="0.35">
      <c r="A25" s="3">
        <v>45934</v>
      </c>
      <c r="B25" s="7" t="s">
        <v>24</v>
      </c>
      <c r="C25" t="s">
        <v>17</v>
      </c>
      <c r="D25">
        <v>63</v>
      </c>
    </row>
    <row r="26" spans="1:4" x14ac:dyDescent="0.35">
      <c r="A26" s="3">
        <v>45934</v>
      </c>
      <c r="B26" s="7" t="s">
        <v>16</v>
      </c>
      <c r="C26" t="s">
        <v>17</v>
      </c>
      <c r="D26">
        <v>60</v>
      </c>
    </row>
    <row r="27" spans="1:4" x14ac:dyDescent="0.35">
      <c r="A27" s="3">
        <v>45935</v>
      </c>
      <c r="B27" s="7" t="s">
        <v>96</v>
      </c>
      <c r="C27" t="s">
        <v>17</v>
      </c>
      <c r="D27">
        <v>62</v>
      </c>
    </row>
    <row r="28" spans="1:4" x14ac:dyDescent="0.35">
      <c r="A28" s="3">
        <v>45935</v>
      </c>
      <c r="B28" s="7" t="s">
        <v>13</v>
      </c>
      <c r="C28" t="s">
        <v>14</v>
      </c>
      <c r="D28">
        <v>62</v>
      </c>
    </row>
    <row r="29" spans="1:4" x14ac:dyDescent="0.35">
      <c r="A29" s="3">
        <v>45935</v>
      </c>
      <c r="B29" s="7" t="s">
        <v>36</v>
      </c>
      <c r="C29" t="s">
        <v>14</v>
      </c>
      <c r="D29">
        <v>62</v>
      </c>
    </row>
    <row r="30" spans="1:4" x14ac:dyDescent="0.35">
      <c r="A30" s="3">
        <v>45935</v>
      </c>
      <c r="B30" s="7" t="s">
        <v>27</v>
      </c>
      <c r="C30" t="s">
        <v>14</v>
      </c>
      <c r="D30">
        <v>64</v>
      </c>
    </row>
    <row r="31" spans="1:4" x14ac:dyDescent="0.35">
      <c r="A31" s="3">
        <v>45935</v>
      </c>
      <c r="B31" s="7" t="s">
        <v>91</v>
      </c>
      <c r="C31" t="s">
        <v>17</v>
      </c>
      <c r="D31">
        <v>65</v>
      </c>
    </row>
    <row r="32" spans="1:4" x14ac:dyDescent="0.35">
      <c r="A32" s="3">
        <v>45937</v>
      </c>
      <c r="B32" s="7" t="s">
        <v>95</v>
      </c>
      <c r="C32" t="s">
        <v>14</v>
      </c>
      <c r="D32">
        <v>62</v>
      </c>
    </row>
    <row r="33" spans="1:4" x14ac:dyDescent="0.35">
      <c r="A33" s="3">
        <v>45937</v>
      </c>
      <c r="B33" s="7" t="s">
        <v>93</v>
      </c>
      <c r="C33" t="s">
        <v>17</v>
      </c>
      <c r="D33">
        <v>65</v>
      </c>
    </row>
    <row r="34" spans="1:4" x14ac:dyDescent="0.35">
      <c r="A34" s="3">
        <v>45937</v>
      </c>
      <c r="B34" s="7" t="s">
        <v>13</v>
      </c>
      <c r="C34" t="s">
        <v>14</v>
      </c>
      <c r="D34">
        <v>68</v>
      </c>
    </row>
    <row r="35" spans="1:4" x14ac:dyDescent="0.35">
      <c r="A35" s="3">
        <v>45937</v>
      </c>
      <c r="B35" s="7" t="s">
        <v>68</v>
      </c>
      <c r="C35" t="s">
        <v>17</v>
      </c>
      <c r="D35">
        <v>62</v>
      </c>
    </row>
    <row r="36" spans="1:4" x14ac:dyDescent="0.35">
      <c r="A36" s="3">
        <v>45937</v>
      </c>
      <c r="B36" s="7" t="s">
        <v>94</v>
      </c>
      <c r="C36" t="s">
        <v>17</v>
      </c>
      <c r="D36">
        <v>62</v>
      </c>
    </row>
    <row r="37" spans="1:4" x14ac:dyDescent="0.35">
      <c r="A37" s="3">
        <v>45938</v>
      </c>
      <c r="B37" s="7" t="s">
        <v>20</v>
      </c>
      <c r="C37" t="s">
        <v>17</v>
      </c>
      <c r="D37">
        <v>56</v>
      </c>
    </row>
    <row r="38" spans="1:4" x14ac:dyDescent="0.35">
      <c r="A38" s="3">
        <v>45938</v>
      </c>
      <c r="B38" s="7" t="s">
        <v>93</v>
      </c>
      <c r="C38" t="s">
        <v>14</v>
      </c>
      <c r="D38">
        <v>60</v>
      </c>
    </row>
    <row r="39" spans="1:4" x14ac:dyDescent="0.35">
      <c r="A39" s="3">
        <v>45938</v>
      </c>
      <c r="B39" s="7" t="s">
        <v>92</v>
      </c>
      <c r="C39" t="s">
        <v>17</v>
      </c>
      <c r="D39">
        <v>63</v>
      </c>
    </row>
    <row r="40" spans="1:4" x14ac:dyDescent="0.35">
      <c r="A40" s="3">
        <v>45938</v>
      </c>
      <c r="B40" s="7" t="s">
        <v>27</v>
      </c>
      <c r="C40" t="s">
        <v>17</v>
      </c>
      <c r="D40">
        <v>60</v>
      </c>
    </row>
    <row r="41" spans="1:4" x14ac:dyDescent="0.35">
      <c r="A41" s="3">
        <v>45938</v>
      </c>
      <c r="B41" s="7" t="s">
        <v>91</v>
      </c>
      <c r="C41" t="s">
        <v>17</v>
      </c>
      <c r="D41">
        <v>62</v>
      </c>
    </row>
    <row r="42" spans="1:4" x14ac:dyDescent="0.35">
      <c r="A42" s="3">
        <v>45939</v>
      </c>
      <c r="B42" s="7" t="s">
        <v>28</v>
      </c>
      <c r="C42" t="s">
        <v>17</v>
      </c>
      <c r="D42">
        <v>60</v>
      </c>
    </row>
    <row r="43" spans="1:4" x14ac:dyDescent="0.35">
      <c r="A43" s="3">
        <v>45939</v>
      </c>
      <c r="B43" s="7" t="s">
        <v>48</v>
      </c>
      <c r="C43" t="s">
        <v>14</v>
      </c>
      <c r="D43">
        <v>62</v>
      </c>
    </row>
    <row r="44" spans="1:4" x14ac:dyDescent="0.35">
      <c r="A44" s="3">
        <v>45939</v>
      </c>
      <c r="B44" s="7" t="s">
        <v>90</v>
      </c>
      <c r="C44" t="s">
        <v>17</v>
      </c>
      <c r="D44">
        <v>58</v>
      </c>
    </row>
    <row r="45" spans="1:4" x14ac:dyDescent="0.35">
      <c r="A45" s="3">
        <v>45939</v>
      </c>
      <c r="B45" s="7" t="s">
        <v>89</v>
      </c>
      <c r="C45" t="s">
        <v>17</v>
      </c>
      <c r="D45">
        <v>63</v>
      </c>
    </row>
    <row r="46" spans="1:4" x14ac:dyDescent="0.35">
      <c r="A46" s="3">
        <v>45939</v>
      </c>
      <c r="B46" s="7" t="s">
        <v>27</v>
      </c>
      <c r="C46" t="s">
        <v>17</v>
      </c>
      <c r="D46">
        <v>60</v>
      </c>
    </row>
    <row r="47" spans="1:4" x14ac:dyDescent="0.35">
      <c r="A47" s="3">
        <v>45939</v>
      </c>
      <c r="B47" s="7" t="s">
        <v>88</v>
      </c>
      <c r="C47" t="s">
        <v>17</v>
      </c>
      <c r="D47">
        <v>60</v>
      </c>
    </row>
    <row r="48" spans="1:4" x14ac:dyDescent="0.35">
      <c r="A48" s="3">
        <v>45940</v>
      </c>
      <c r="B48" s="7" t="s">
        <v>28</v>
      </c>
      <c r="C48" t="s">
        <v>17</v>
      </c>
      <c r="D48">
        <v>60</v>
      </c>
    </row>
    <row r="49" spans="1:7" x14ac:dyDescent="0.35">
      <c r="A49" s="3">
        <v>45943</v>
      </c>
      <c r="B49" t="s">
        <v>87</v>
      </c>
      <c r="C49" t="s">
        <v>17</v>
      </c>
      <c r="D49">
        <v>68</v>
      </c>
    </row>
    <row r="50" spans="1:7" x14ac:dyDescent="0.35">
      <c r="A50" s="3">
        <v>45943</v>
      </c>
      <c r="B50" s="7" t="s">
        <v>86</v>
      </c>
      <c r="C50" t="s">
        <v>17</v>
      </c>
      <c r="D50">
        <v>62</v>
      </c>
    </row>
    <row r="51" spans="1:7" x14ac:dyDescent="0.35">
      <c r="A51" s="3">
        <v>45943</v>
      </c>
      <c r="B51" s="7" t="s">
        <v>13</v>
      </c>
      <c r="C51" t="s">
        <v>17</v>
      </c>
      <c r="D51">
        <v>68</v>
      </c>
    </row>
    <row r="52" spans="1:7" x14ac:dyDescent="0.35">
      <c r="A52" s="3">
        <v>45943</v>
      </c>
      <c r="B52" s="7" t="s">
        <v>85</v>
      </c>
      <c r="C52" t="s">
        <v>17</v>
      </c>
      <c r="D52">
        <v>63</v>
      </c>
    </row>
    <row r="53" spans="1:7" x14ac:dyDescent="0.35">
      <c r="A53" s="3">
        <v>45943</v>
      </c>
      <c r="B53" s="7" t="s">
        <v>27</v>
      </c>
      <c r="C53" t="s">
        <v>14</v>
      </c>
      <c r="D53">
        <v>64</v>
      </c>
    </row>
    <row r="54" spans="1:7" x14ac:dyDescent="0.35">
      <c r="A54" s="1">
        <v>45957</v>
      </c>
      <c r="B54" s="7" t="s">
        <v>19</v>
      </c>
      <c r="C54" t="s">
        <v>14</v>
      </c>
      <c r="D54">
        <v>62</v>
      </c>
    </row>
    <row r="55" spans="1:7" x14ac:dyDescent="0.35">
      <c r="A55" s="1">
        <v>45957</v>
      </c>
      <c r="B55" s="7" t="s">
        <v>20</v>
      </c>
      <c r="C55" t="s">
        <v>14</v>
      </c>
      <c r="D55">
        <v>64</v>
      </c>
    </row>
    <row r="56" spans="1:7" x14ac:dyDescent="0.35">
      <c r="A56" s="1">
        <v>45957</v>
      </c>
      <c r="B56" s="7" t="s">
        <v>84</v>
      </c>
      <c r="C56" t="s">
        <v>17</v>
      </c>
      <c r="D56">
        <v>67</v>
      </c>
    </row>
    <row r="57" spans="1:7" x14ac:dyDescent="0.35">
      <c r="A57" s="1">
        <v>45957</v>
      </c>
      <c r="B57" s="7" t="s">
        <v>18</v>
      </c>
      <c r="C57" t="s">
        <v>14</v>
      </c>
      <c r="D57">
        <v>63</v>
      </c>
    </row>
    <row r="58" spans="1:7" x14ac:dyDescent="0.35">
      <c r="A58" s="1">
        <v>45957</v>
      </c>
      <c r="B58" s="7" t="s">
        <v>24</v>
      </c>
      <c r="C58" t="s">
        <v>17</v>
      </c>
      <c r="D58">
        <v>60</v>
      </c>
    </row>
    <row r="59" spans="1:7" x14ac:dyDescent="0.35">
      <c r="A59" s="1">
        <v>45957</v>
      </c>
      <c r="B59" s="7" t="s">
        <v>26</v>
      </c>
      <c r="C59" t="s">
        <v>17</v>
      </c>
      <c r="D59">
        <v>60</v>
      </c>
    </row>
    <row r="60" spans="1:7" x14ac:dyDescent="0.35">
      <c r="A60" s="1">
        <v>45957</v>
      </c>
      <c r="B60" s="7" t="s">
        <v>13</v>
      </c>
      <c r="C60" t="s">
        <v>14</v>
      </c>
      <c r="D60">
        <v>63</v>
      </c>
    </row>
    <row r="61" spans="1:7" x14ac:dyDescent="0.35">
      <c r="A61" s="1">
        <v>45957</v>
      </c>
      <c r="B61" s="7" t="s">
        <v>27</v>
      </c>
      <c r="C61" t="s">
        <v>17</v>
      </c>
      <c r="D61">
        <v>56</v>
      </c>
    </row>
    <row r="62" spans="1:7" x14ac:dyDescent="0.35">
      <c r="A62" s="1">
        <v>45957</v>
      </c>
      <c r="B62" s="7" t="s">
        <v>24</v>
      </c>
      <c r="C62" t="s">
        <v>17</v>
      </c>
      <c r="D62">
        <v>60</v>
      </c>
    </row>
    <row r="63" spans="1:7" x14ac:dyDescent="0.35">
      <c r="A63" s="1">
        <v>45957</v>
      </c>
      <c r="B63" s="7" t="s">
        <v>16</v>
      </c>
      <c r="C63" t="s">
        <v>17</v>
      </c>
      <c r="D63">
        <v>62</v>
      </c>
    </row>
    <row r="64" spans="1:7" x14ac:dyDescent="0.35">
      <c r="A64" s="10">
        <v>45958</v>
      </c>
      <c r="B64" s="9" t="s">
        <v>28</v>
      </c>
      <c r="C64" s="8" t="s">
        <v>17</v>
      </c>
      <c r="D64" s="8">
        <v>58</v>
      </c>
      <c r="E64" t="str">
        <f>_xlfn.CONCAT(A64,B64)</f>
        <v>45958AAPL</v>
      </c>
      <c r="F64" t="str">
        <f>C64</f>
        <v>bearish</v>
      </c>
      <c r="G64">
        <f>D64</f>
        <v>58</v>
      </c>
    </row>
    <row r="65" spans="1:6" x14ac:dyDescent="0.35">
      <c r="A65" s="1">
        <v>45958</v>
      </c>
      <c r="B65" s="7" t="s">
        <v>20</v>
      </c>
      <c r="C65" t="s">
        <v>17</v>
      </c>
      <c r="D65">
        <v>55</v>
      </c>
      <c r="E65" t="str">
        <f>_xlfn.CONCAT(A65,B65)</f>
        <v>45958AMD</v>
      </c>
      <c r="F65" t="str">
        <f>C65</f>
        <v>bearish</v>
      </c>
    </row>
    <row r="66" spans="1:6" x14ac:dyDescent="0.35">
      <c r="A66" s="1">
        <v>45958</v>
      </c>
      <c r="B66" s="7" t="s">
        <v>84</v>
      </c>
      <c r="C66" t="s">
        <v>14</v>
      </c>
      <c r="D66">
        <v>58</v>
      </c>
      <c r="E66" t="str">
        <f>_xlfn.CONCAT(A66,B66)</f>
        <v>45958DYNE</v>
      </c>
      <c r="F66" t="str">
        <f>C66</f>
        <v>bullish</v>
      </c>
    </row>
    <row r="67" spans="1:6" x14ac:dyDescent="0.35">
      <c r="A67" s="1">
        <v>45958</v>
      </c>
      <c r="B67" s="7" t="s">
        <v>26</v>
      </c>
      <c r="C67" t="s">
        <v>14</v>
      </c>
      <c r="D67">
        <v>56</v>
      </c>
      <c r="E67" t="str">
        <f>_xlfn.CONCAT(A67,B67)</f>
        <v>45958LULU</v>
      </c>
      <c r="F67" t="str">
        <f>C67</f>
        <v>bullish</v>
      </c>
    </row>
    <row r="68" spans="1:6" x14ac:dyDescent="0.35">
      <c r="A68" s="1">
        <v>45958</v>
      </c>
      <c r="B68" s="7" t="s">
        <v>27</v>
      </c>
      <c r="C68" t="s">
        <v>14</v>
      </c>
      <c r="D68">
        <v>62</v>
      </c>
      <c r="E68" t="str">
        <f>_xlfn.CONCAT(A68,B68)</f>
        <v>45958NVDA</v>
      </c>
      <c r="F68" t="str">
        <f>C68</f>
        <v>bullish</v>
      </c>
    </row>
    <row r="69" spans="1:6" x14ac:dyDescent="0.35">
      <c r="A69" s="1">
        <v>45959</v>
      </c>
      <c r="B69" s="7" t="s">
        <v>29</v>
      </c>
      <c r="C69" t="s">
        <v>14</v>
      </c>
      <c r="D69">
        <v>56</v>
      </c>
      <c r="E69" t="str">
        <f>_xlfn.CONCAT(A69,B69)</f>
        <v>45959AMZN</v>
      </c>
      <c r="F69" t="str">
        <f>C69</f>
        <v>bullish</v>
      </c>
    </row>
    <row r="70" spans="1:6" x14ac:dyDescent="0.35">
      <c r="A70" s="1">
        <v>45959</v>
      </c>
      <c r="B70" s="7" t="s">
        <v>13</v>
      </c>
      <c r="C70" t="s">
        <v>14</v>
      </c>
      <c r="D70">
        <v>65</v>
      </c>
      <c r="E70" t="str">
        <f>_xlfn.CONCAT(A70,B70)</f>
        <v>45959MSFT</v>
      </c>
      <c r="F70" t="str">
        <f>C70</f>
        <v>bullish</v>
      </c>
    </row>
    <row r="71" spans="1:6" x14ac:dyDescent="0.35">
      <c r="A71" s="1">
        <v>45959</v>
      </c>
      <c r="B71" s="7" t="s">
        <v>27</v>
      </c>
      <c r="C71" t="s">
        <v>14</v>
      </c>
      <c r="D71">
        <v>58</v>
      </c>
      <c r="E71" t="str">
        <f>_xlfn.CONCAT(A71,B71)</f>
        <v>45959NVDA</v>
      </c>
      <c r="F71" t="str">
        <f>C71</f>
        <v>bullish</v>
      </c>
    </row>
    <row r="72" spans="1:6" x14ac:dyDescent="0.35">
      <c r="A72" s="1">
        <v>45959</v>
      </c>
      <c r="B72" s="7" t="s">
        <v>31</v>
      </c>
      <c r="C72" t="s">
        <v>17</v>
      </c>
      <c r="D72">
        <v>58</v>
      </c>
      <c r="E72" t="str">
        <f>_xlfn.CONCAT(A72,B72)</f>
        <v>45959PYPL</v>
      </c>
      <c r="F72" t="str">
        <f>C72</f>
        <v>bearish</v>
      </c>
    </row>
    <row r="73" spans="1:6" x14ac:dyDescent="0.35">
      <c r="A73" s="1">
        <v>45959</v>
      </c>
      <c r="B73" t="s">
        <v>30</v>
      </c>
      <c r="C73" t="s">
        <v>14</v>
      </c>
      <c r="D73">
        <v>58</v>
      </c>
      <c r="E73" t="str">
        <f>_xlfn.CONCAT(A73,B73)</f>
        <v>45959UAL</v>
      </c>
      <c r="F73" t="str">
        <f>C73</f>
        <v>bullish</v>
      </c>
    </row>
    <row r="74" spans="1:6" x14ac:dyDescent="0.35">
      <c r="A74" s="1">
        <v>45960</v>
      </c>
      <c r="B74" s="7" t="s">
        <v>35</v>
      </c>
      <c r="C74" t="s">
        <v>14</v>
      </c>
      <c r="D74">
        <v>57</v>
      </c>
      <c r="E74" t="str">
        <f>_xlfn.CONCAT(A74,B74)</f>
        <v>45960CAT</v>
      </c>
      <c r="F74" t="str">
        <f>C74</f>
        <v>bullish</v>
      </c>
    </row>
    <row r="75" spans="1:6" x14ac:dyDescent="0.35">
      <c r="A75" s="1">
        <v>45960</v>
      </c>
      <c r="B75" s="7" t="s">
        <v>33</v>
      </c>
      <c r="C75" t="s">
        <v>17</v>
      </c>
      <c r="D75">
        <v>62</v>
      </c>
      <c r="E75" t="str">
        <f>_xlfn.CONCAT(A75,B75)</f>
        <v>45960CVNA</v>
      </c>
      <c r="F75" t="str">
        <f>C75</f>
        <v>bearish</v>
      </c>
    </row>
    <row r="76" spans="1:6" x14ac:dyDescent="0.35">
      <c r="A76" s="1">
        <v>45960</v>
      </c>
      <c r="B76" s="7" t="s">
        <v>13</v>
      </c>
      <c r="C76" t="s">
        <v>14</v>
      </c>
      <c r="D76">
        <v>60</v>
      </c>
      <c r="E76" t="str">
        <f>_xlfn.CONCAT(A76,B76)</f>
        <v>45960MSFT</v>
      </c>
      <c r="F76" t="str">
        <f>C76</f>
        <v>bullish</v>
      </c>
    </row>
    <row r="77" spans="1:6" x14ac:dyDescent="0.35">
      <c r="A77" s="1">
        <v>45960</v>
      </c>
      <c r="B77" s="7" t="s">
        <v>32</v>
      </c>
      <c r="C77" t="s">
        <v>14</v>
      </c>
      <c r="D77">
        <v>55</v>
      </c>
      <c r="E77" t="str">
        <f>_xlfn.CONCAT(A77,B77)</f>
        <v>45960NOW</v>
      </c>
      <c r="F77" t="str">
        <f>C77</f>
        <v>bullish</v>
      </c>
    </row>
    <row r="78" spans="1:6" x14ac:dyDescent="0.35">
      <c r="A78" s="1">
        <v>45960</v>
      </c>
      <c r="B78" s="7" t="s">
        <v>34</v>
      </c>
      <c r="C78" t="s">
        <v>17</v>
      </c>
      <c r="D78">
        <v>58</v>
      </c>
      <c r="E78" t="str">
        <f>_xlfn.CONCAT(A78,B78)</f>
        <v>45960SBUX</v>
      </c>
      <c r="F78" t="str">
        <f>C78</f>
        <v>bearish</v>
      </c>
    </row>
    <row r="79" spans="1:6" x14ac:dyDescent="0.35">
      <c r="A79" s="1">
        <v>45961</v>
      </c>
      <c r="B79" s="7" t="s">
        <v>29</v>
      </c>
      <c r="C79" t="s">
        <v>14</v>
      </c>
      <c r="D79">
        <v>62</v>
      </c>
      <c r="E79" t="str">
        <f>_xlfn.CONCAT(A79,B79)</f>
        <v>45961AMZN</v>
      </c>
      <c r="F79" t="str">
        <f>C79</f>
        <v>bullish</v>
      </c>
    </row>
    <row r="80" spans="1:6" x14ac:dyDescent="0.35">
      <c r="A80" s="1">
        <v>45961</v>
      </c>
      <c r="B80" s="7" t="s">
        <v>35</v>
      </c>
      <c r="C80" t="s">
        <v>14</v>
      </c>
      <c r="D80">
        <v>57</v>
      </c>
      <c r="E80" t="str">
        <f>_xlfn.CONCAT(A80,B80)</f>
        <v>45961CAT</v>
      </c>
      <c r="F80" t="str">
        <f>C80</f>
        <v>bullish</v>
      </c>
    </row>
    <row r="81" spans="1:6" x14ac:dyDescent="0.35">
      <c r="A81" s="1">
        <v>45961</v>
      </c>
      <c r="B81" s="7" t="s">
        <v>38</v>
      </c>
      <c r="C81" t="s">
        <v>17</v>
      </c>
      <c r="D81">
        <v>68</v>
      </c>
      <c r="E81" t="str">
        <f>_xlfn.CONCAT(A81,B81)</f>
        <v>45961EL</v>
      </c>
      <c r="F81" t="str">
        <f>C81</f>
        <v>bearish</v>
      </c>
    </row>
    <row r="82" spans="1:6" x14ac:dyDescent="0.35">
      <c r="A82" s="1">
        <v>45961</v>
      </c>
      <c r="B82" s="7" t="s">
        <v>36</v>
      </c>
      <c r="C82" t="s">
        <v>14</v>
      </c>
      <c r="D82">
        <v>62</v>
      </c>
      <c r="E82" t="str">
        <f>_xlfn.CONCAT(A82,B82)</f>
        <v>45961NFLX</v>
      </c>
      <c r="F82" t="str">
        <f>C82</f>
        <v>bullish</v>
      </c>
    </row>
    <row r="83" spans="1:6" x14ac:dyDescent="0.35">
      <c r="A83" s="1">
        <v>45961</v>
      </c>
      <c r="B83" s="7" t="s">
        <v>37</v>
      </c>
      <c r="C83" t="s">
        <v>17</v>
      </c>
      <c r="D83">
        <v>60</v>
      </c>
      <c r="E83" t="str">
        <f>_xlfn.CONCAT(A83,B83)</f>
        <v>45961RBLX</v>
      </c>
      <c r="F83" t="str">
        <f>C83</f>
        <v>bearish</v>
      </c>
    </row>
    <row r="84" spans="1:6" x14ac:dyDescent="0.35">
      <c r="A84" s="1">
        <v>45962</v>
      </c>
      <c r="B84" s="7" t="s">
        <v>29</v>
      </c>
      <c r="C84" t="s">
        <v>17</v>
      </c>
      <c r="D84">
        <v>60</v>
      </c>
      <c r="E84" t="str">
        <f>_xlfn.CONCAT(A84,B84)</f>
        <v>45962AMZN</v>
      </c>
      <c r="F84" t="str">
        <f>C84</f>
        <v>bearish</v>
      </c>
    </row>
    <row r="85" spans="1:6" x14ac:dyDescent="0.35">
      <c r="A85" s="1">
        <v>45962</v>
      </c>
      <c r="B85" s="7" t="s">
        <v>38</v>
      </c>
      <c r="C85" t="s">
        <v>21</v>
      </c>
      <c r="D85">
        <v>35</v>
      </c>
      <c r="E85" t="str">
        <f>_xlfn.CONCAT(A85,B85)</f>
        <v>45962EL</v>
      </c>
      <c r="F85" t="str">
        <f>C85</f>
        <v>neutral</v>
      </c>
    </row>
    <row r="86" spans="1:6" x14ac:dyDescent="0.35">
      <c r="A86" s="1">
        <v>45962</v>
      </c>
      <c r="B86" s="7" t="s">
        <v>40</v>
      </c>
      <c r="C86" t="s">
        <v>14</v>
      </c>
      <c r="D86">
        <v>60</v>
      </c>
      <c r="E86" t="str">
        <f>_xlfn.CONCAT(A86,B86)</f>
        <v>45962LRCX</v>
      </c>
      <c r="F86" t="str">
        <f>C86</f>
        <v>bullish</v>
      </c>
    </row>
    <row r="87" spans="1:6" x14ac:dyDescent="0.35">
      <c r="A87" s="1">
        <v>45962</v>
      </c>
      <c r="B87" s="7" t="s">
        <v>13</v>
      </c>
      <c r="C87" t="s">
        <v>14</v>
      </c>
      <c r="D87">
        <v>64</v>
      </c>
      <c r="E87" t="str">
        <f>_xlfn.CONCAT(A87,B87)</f>
        <v>45962MSFT</v>
      </c>
      <c r="F87" t="str">
        <f>C87</f>
        <v>bullish</v>
      </c>
    </row>
    <row r="88" spans="1:6" x14ac:dyDescent="0.35">
      <c r="A88" s="1">
        <v>45962</v>
      </c>
      <c r="B88" s="7" t="s">
        <v>36</v>
      </c>
      <c r="C88" t="s">
        <v>17</v>
      </c>
      <c r="D88">
        <v>57</v>
      </c>
      <c r="E88" t="str">
        <f>_xlfn.CONCAT(A88,B88)</f>
        <v>45962NFLX</v>
      </c>
      <c r="F88" t="str">
        <f>C88</f>
        <v>bearish</v>
      </c>
    </row>
    <row r="89" spans="1:6" x14ac:dyDescent="0.35">
      <c r="A89" s="1">
        <v>45962</v>
      </c>
      <c r="B89" s="7" t="s">
        <v>27</v>
      </c>
      <c r="C89" t="s">
        <v>14</v>
      </c>
      <c r="D89">
        <v>60</v>
      </c>
      <c r="E89" t="str">
        <f>_xlfn.CONCAT(A89,B89)</f>
        <v>45962NVDA</v>
      </c>
      <c r="F89" t="str">
        <f>C89</f>
        <v>bullish</v>
      </c>
    </row>
    <row r="90" spans="1:6" x14ac:dyDescent="0.35">
      <c r="A90" s="1">
        <v>45962</v>
      </c>
      <c r="B90" s="7" t="s">
        <v>39</v>
      </c>
      <c r="C90" t="s">
        <v>17</v>
      </c>
      <c r="D90">
        <v>60</v>
      </c>
      <c r="E90" t="str">
        <f>_xlfn.CONCAT(A90,B90)</f>
        <v>45962NXPI</v>
      </c>
      <c r="F90" t="str">
        <f>C90</f>
        <v>bearish</v>
      </c>
    </row>
    <row r="91" spans="1:6" x14ac:dyDescent="0.35">
      <c r="A91" s="1">
        <v>45962</v>
      </c>
      <c r="B91" s="7" t="s">
        <v>37</v>
      </c>
      <c r="C91" t="s">
        <v>14</v>
      </c>
      <c r="D91">
        <v>58</v>
      </c>
      <c r="E91" t="str">
        <f>_xlfn.CONCAT(A91,B91)</f>
        <v>45962RBLX</v>
      </c>
      <c r="F91" t="str">
        <f>C91</f>
        <v>bullish</v>
      </c>
    </row>
    <row r="92" spans="1:6" x14ac:dyDescent="0.35">
      <c r="A92" s="1">
        <v>45963</v>
      </c>
      <c r="B92" s="7" t="s">
        <v>28</v>
      </c>
      <c r="C92" t="s">
        <v>14</v>
      </c>
      <c r="D92">
        <v>55</v>
      </c>
      <c r="E92" t="str">
        <f>_xlfn.CONCAT(A92,B92)</f>
        <v>45963AAPL</v>
      </c>
      <c r="F92" t="str">
        <f>C92</f>
        <v>bullish</v>
      </c>
    </row>
    <row r="93" spans="1:6" x14ac:dyDescent="0.35">
      <c r="A93" s="1">
        <v>45963</v>
      </c>
      <c r="B93" s="7" t="s">
        <v>29</v>
      </c>
      <c r="C93" t="s">
        <v>14</v>
      </c>
      <c r="D93">
        <v>58</v>
      </c>
      <c r="E93" t="str">
        <f>_xlfn.CONCAT(A93,B93)</f>
        <v>45963AMZN</v>
      </c>
      <c r="F93" t="str">
        <f>C93</f>
        <v>bullish</v>
      </c>
    </row>
    <row r="94" spans="1:6" x14ac:dyDescent="0.35">
      <c r="A94" s="1">
        <v>45963</v>
      </c>
      <c r="B94" s="7" t="s">
        <v>63</v>
      </c>
      <c r="C94" t="s">
        <v>17</v>
      </c>
      <c r="D94">
        <v>63</v>
      </c>
      <c r="E94" t="str">
        <f>_xlfn.CONCAT(A94,B94)</f>
        <v>45963DIS</v>
      </c>
      <c r="F94" t="str">
        <f>C94</f>
        <v>bearish</v>
      </c>
    </row>
    <row r="95" spans="1:6" x14ac:dyDescent="0.35">
      <c r="A95" s="1">
        <v>45963</v>
      </c>
      <c r="B95" s="7" t="s">
        <v>38</v>
      </c>
      <c r="C95" t="s">
        <v>17</v>
      </c>
      <c r="D95">
        <v>68</v>
      </c>
      <c r="E95" t="str">
        <f>_xlfn.CONCAT(A95,B95)</f>
        <v>45963EL</v>
      </c>
      <c r="F95" t="str">
        <f>C95</f>
        <v>bearish</v>
      </c>
    </row>
    <row r="96" spans="1:6" x14ac:dyDescent="0.35">
      <c r="A96" s="1">
        <v>45963</v>
      </c>
      <c r="B96" s="7" t="s">
        <v>41</v>
      </c>
      <c r="C96" t="s">
        <v>17</v>
      </c>
      <c r="D96">
        <v>62</v>
      </c>
      <c r="E96" t="str">
        <f>_xlfn.CONCAT(A96,B96)</f>
        <v>45963META</v>
      </c>
      <c r="F96" t="str">
        <f>C96</f>
        <v>bearish</v>
      </c>
    </row>
    <row r="97" spans="1:6" x14ac:dyDescent="0.35">
      <c r="A97" s="1">
        <v>45963</v>
      </c>
      <c r="B97" s="7" t="s">
        <v>13</v>
      </c>
      <c r="C97" t="s">
        <v>14</v>
      </c>
      <c r="D97">
        <v>55</v>
      </c>
      <c r="E97" t="str">
        <f>_xlfn.CONCAT(A97,B97)</f>
        <v>45963MSFT</v>
      </c>
      <c r="F97" t="str">
        <f>C97</f>
        <v>bullish</v>
      </c>
    </row>
    <row r="98" spans="1:6" x14ac:dyDescent="0.35">
      <c r="A98" s="1">
        <v>45963</v>
      </c>
      <c r="B98" s="7" t="s">
        <v>27</v>
      </c>
      <c r="C98" t="s">
        <v>14</v>
      </c>
      <c r="D98">
        <v>65</v>
      </c>
      <c r="E98" t="str">
        <f>_xlfn.CONCAT(A98,B98)</f>
        <v>45963NVDA</v>
      </c>
      <c r="F98" t="str">
        <f>C98</f>
        <v>bullish</v>
      </c>
    </row>
    <row r="99" spans="1:6" x14ac:dyDescent="0.35">
      <c r="A99" s="1">
        <v>45963</v>
      </c>
      <c r="B99" s="7" t="s">
        <v>42</v>
      </c>
      <c r="C99" t="s">
        <v>14</v>
      </c>
      <c r="D99">
        <v>64</v>
      </c>
      <c r="E99" t="str">
        <f>_xlfn.CONCAT(A99,B99)</f>
        <v>45963QCOM</v>
      </c>
      <c r="F99" t="str">
        <f>C99</f>
        <v>bullish</v>
      </c>
    </row>
    <row r="100" spans="1:6" x14ac:dyDescent="0.35">
      <c r="A100" s="1">
        <v>45964</v>
      </c>
      <c r="B100" s="7" t="s">
        <v>28</v>
      </c>
      <c r="C100" t="s">
        <v>17</v>
      </c>
      <c r="D100">
        <v>58</v>
      </c>
      <c r="E100" t="str">
        <f>_xlfn.CONCAT(A100,B100)</f>
        <v>45964AAPL</v>
      </c>
      <c r="F100" t="str">
        <f>C100</f>
        <v>bearish</v>
      </c>
    </row>
    <row r="101" spans="1:6" x14ac:dyDescent="0.35">
      <c r="A101" s="1">
        <v>45964</v>
      </c>
      <c r="B101" s="7" t="s">
        <v>29</v>
      </c>
      <c r="C101" t="s">
        <v>14</v>
      </c>
      <c r="D101">
        <v>60</v>
      </c>
      <c r="E101" t="str">
        <f>_xlfn.CONCAT(A101,B101)</f>
        <v>45964AMZN</v>
      </c>
      <c r="F101" t="str">
        <f>C101</f>
        <v>bullish</v>
      </c>
    </row>
    <row r="102" spans="1:6" x14ac:dyDescent="0.35">
      <c r="A102" s="1">
        <v>45964</v>
      </c>
      <c r="B102" s="7" t="s">
        <v>43</v>
      </c>
      <c r="C102" t="s">
        <v>14</v>
      </c>
      <c r="D102">
        <v>62</v>
      </c>
      <c r="E102" t="str">
        <f>_xlfn.CONCAT(A102,B102)</f>
        <v>45964GOOG</v>
      </c>
      <c r="F102" t="str">
        <f>C102</f>
        <v>bullish</v>
      </c>
    </row>
    <row r="103" spans="1:6" x14ac:dyDescent="0.35">
      <c r="A103" s="1">
        <v>45964</v>
      </c>
      <c r="B103" s="7" t="s">
        <v>13</v>
      </c>
      <c r="C103" t="s">
        <v>14</v>
      </c>
      <c r="D103">
        <v>62</v>
      </c>
      <c r="E103" t="str">
        <f>_xlfn.CONCAT(A103,B103)</f>
        <v>45964MSFT</v>
      </c>
      <c r="F103" t="str">
        <f>C103</f>
        <v>bullish</v>
      </c>
    </row>
    <row r="104" spans="1:6" x14ac:dyDescent="0.35">
      <c r="A104" s="1">
        <v>45964</v>
      </c>
      <c r="B104" s="7" t="s">
        <v>27</v>
      </c>
      <c r="C104" t="s">
        <v>14</v>
      </c>
      <c r="D104">
        <v>63</v>
      </c>
      <c r="E104" t="str">
        <f>_xlfn.CONCAT(A104,B104)</f>
        <v>45964NVDA</v>
      </c>
      <c r="F104" t="str">
        <f>C104</f>
        <v>bullish</v>
      </c>
    </row>
    <row r="105" spans="1:6" x14ac:dyDescent="0.35">
      <c r="A105" s="1">
        <v>45965</v>
      </c>
      <c r="B105" s="7" t="s">
        <v>20</v>
      </c>
      <c r="C105" t="s">
        <v>14</v>
      </c>
      <c r="D105">
        <v>58</v>
      </c>
      <c r="E105" t="str">
        <f>_xlfn.CONCAT(A105,B105)</f>
        <v>45965AMD</v>
      </c>
      <c r="F105" t="str">
        <f>C105</f>
        <v>bullish</v>
      </c>
    </row>
    <row r="106" spans="1:6" x14ac:dyDescent="0.35">
      <c r="A106" s="1">
        <v>45965</v>
      </c>
      <c r="B106" s="7" t="s">
        <v>29</v>
      </c>
      <c r="C106" t="s">
        <v>17</v>
      </c>
      <c r="D106">
        <v>58</v>
      </c>
      <c r="E106" t="str">
        <f>_xlfn.CONCAT(A106,B106)</f>
        <v>45965AMZN</v>
      </c>
      <c r="F106" t="str">
        <f>C106</f>
        <v>bearish</v>
      </c>
    </row>
    <row r="107" spans="1:6" x14ac:dyDescent="0.35">
      <c r="A107" s="1">
        <v>45965</v>
      </c>
      <c r="B107" s="7" t="s">
        <v>27</v>
      </c>
      <c r="C107" t="s">
        <v>14</v>
      </c>
      <c r="D107">
        <v>68</v>
      </c>
      <c r="E107" t="str">
        <f>_xlfn.CONCAT(A107,B107)</f>
        <v>45965NVDA</v>
      </c>
      <c r="F107" t="str">
        <f>C107</f>
        <v>bullish</v>
      </c>
    </row>
    <row r="108" spans="1:6" x14ac:dyDescent="0.35">
      <c r="A108" s="1">
        <v>45965</v>
      </c>
      <c r="B108" s="7" t="s">
        <v>44</v>
      </c>
      <c r="C108" t="s">
        <v>17</v>
      </c>
      <c r="D108">
        <v>62</v>
      </c>
      <c r="E108" t="str">
        <f>_xlfn.CONCAT(A108,B108)</f>
        <v>45965PTON</v>
      </c>
      <c r="F108" t="str">
        <f>C108</f>
        <v>bearish</v>
      </c>
    </row>
    <row r="109" spans="1:6" x14ac:dyDescent="0.35">
      <c r="A109" s="1">
        <v>45965</v>
      </c>
      <c r="B109" s="7" t="s">
        <v>45</v>
      </c>
      <c r="C109" t="s">
        <v>17</v>
      </c>
      <c r="D109">
        <v>60</v>
      </c>
      <c r="E109" t="str">
        <f>_xlfn.CONCAT(A109,B109)</f>
        <v>45965SPOT</v>
      </c>
      <c r="F109" t="str">
        <f>C109</f>
        <v>bearish</v>
      </c>
    </row>
    <row r="110" spans="1:6" x14ac:dyDescent="0.35">
      <c r="A110" s="1">
        <v>45966</v>
      </c>
      <c r="B110" s="7" t="s">
        <v>20</v>
      </c>
      <c r="C110" t="s">
        <v>14</v>
      </c>
      <c r="D110">
        <v>64</v>
      </c>
      <c r="E110" t="str">
        <f>_xlfn.CONCAT(A110,B110)</f>
        <v>45966AMD</v>
      </c>
      <c r="F110" t="str">
        <f>C110</f>
        <v>bullish</v>
      </c>
    </row>
    <row r="111" spans="1:6" x14ac:dyDescent="0.35">
      <c r="A111" s="1">
        <v>45966</v>
      </c>
      <c r="B111" s="7" t="s">
        <v>29</v>
      </c>
      <c r="C111" t="s">
        <v>17</v>
      </c>
      <c r="D111">
        <v>63</v>
      </c>
      <c r="E111" t="str">
        <f>_xlfn.CONCAT(A111,B111)</f>
        <v>45966AMZN</v>
      </c>
      <c r="F111" t="str">
        <f>C111</f>
        <v>bearish</v>
      </c>
    </row>
    <row r="112" spans="1:6" x14ac:dyDescent="0.35">
      <c r="A112" s="1">
        <v>45966</v>
      </c>
      <c r="B112" s="7" t="s">
        <v>27</v>
      </c>
      <c r="C112" t="s">
        <v>14</v>
      </c>
      <c r="D112">
        <v>62</v>
      </c>
      <c r="E112" t="str">
        <f>_xlfn.CONCAT(A112,B112)</f>
        <v>45966NVDA</v>
      </c>
      <c r="F112" t="str">
        <f>C112</f>
        <v>bullish</v>
      </c>
    </row>
    <row r="113" spans="1:6" x14ac:dyDescent="0.35">
      <c r="A113" s="1">
        <v>45966</v>
      </c>
      <c r="B113" s="7" t="s">
        <v>46</v>
      </c>
      <c r="C113" t="s">
        <v>17</v>
      </c>
      <c r="D113">
        <v>58</v>
      </c>
      <c r="E113" t="str">
        <f>_xlfn.CONCAT(A113,B113)</f>
        <v>45966PZZA</v>
      </c>
      <c r="F113" t="str">
        <f>C113</f>
        <v>bearish</v>
      </c>
    </row>
    <row r="114" spans="1:6" x14ac:dyDescent="0.35">
      <c r="A114" s="1">
        <v>45966</v>
      </c>
      <c r="B114" s="7" t="s">
        <v>47</v>
      </c>
      <c r="C114" t="s">
        <v>17</v>
      </c>
      <c r="D114">
        <v>65</v>
      </c>
      <c r="E114" t="str">
        <f>_xlfn.CONCAT(A114,B114)</f>
        <v>45966RIVN</v>
      </c>
      <c r="F114" t="str">
        <f>C114</f>
        <v>bearish</v>
      </c>
    </row>
    <row r="115" spans="1:6" x14ac:dyDescent="0.35">
      <c r="A115" s="1">
        <v>45967</v>
      </c>
      <c r="B115" s="7" t="s">
        <v>29</v>
      </c>
      <c r="C115" t="s">
        <v>21</v>
      </c>
      <c r="D115">
        <v>60</v>
      </c>
      <c r="E115" t="str">
        <f>_xlfn.CONCAT(A115,B115)</f>
        <v>45967AMZN</v>
      </c>
      <c r="F115" t="str">
        <f>C115</f>
        <v>neutral</v>
      </c>
    </row>
    <row r="116" spans="1:6" x14ac:dyDescent="0.35">
      <c r="A116" s="1">
        <v>45967</v>
      </c>
      <c r="B116" s="7" t="s">
        <v>48</v>
      </c>
      <c r="C116" t="s">
        <v>14</v>
      </c>
      <c r="D116">
        <v>62</v>
      </c>
      <c r="E116" t="str">
        <f>_xlfn.CONCAT(A116,B116)</f>
        <v>45967COST</v>
      </c>
      <c r="F116" t="str">
        <f>C116</f>
        <v>bullish</v>
      </c>
    </row>
    <row r="117" spans="1:6" x14ac:dyDescent="0.35">
      <c r="A117" s="1">
        <v>45967</v>
      </c>
      <c r="B117" s="7" t="s">
        <v>49</v>
      </c>
      <c r="C117" t="s">
        <v>17</v>
      </c>
      <c r="D117">
        <v>62</v>
      </c>
      <c r="E117" t="str">
        <f>_xlfn.CONCAT(A117,B117)</f>
        <v>45967LYFT</v>
      </c>
      <c r="F117" t="str">
        <f>C117</f>
        <v>bearish</v>
      </c>
    </row>
    <row r="118" spans="1:6" x14ac:dyDescent="0.35">
      <c r="A118" s="1">
        <v>45967</v>
      </c>
      <c r="B118" s="7" t="s">
        <v>37</v>
      </c>
      <c r="C118" t="s">
        <v>17</v>
      </c>
      <c r="D118">
        <v>62</v>
      </c>
      <c r="E118" t="str">
        <f>_xlfn.CONCAT(A118,B118)</f>
        <v>45967RBLX</v>
      </c>
      <c r="F118" t="str">
        <f>C118</f>
        <v>bearish</v>
      </c>
    </row>
    <row r="119" spans="1:6" x14ac:dyDescent="0.35">
      <c r="A119" s="1">
        <v>45967</v>
      </c>
      <c r="B119" s="7" t="s">
        <v>50</v>
      </c>
      <c r="C119" t="s">
        <v>17</v>
      </c>
      <c r="D119">
        <v>57</v>
      </c>
      <c r="E119" t="str">
        <f>_xlfn.CONCAT(A119,B119)</f>
        <v>45967ROKU</v>
      </c>
      <c r="F119" t="str">
        <f>C119</f>
        <v>bearish</v>
      </c>
    </row>
    <row r="120" spans="1:6" x14ac:dyDescent="0.35">
      <c r="A120" s="1">
        <v>45968</v>
      </c>
      <c r="B120" s="7" t="s">
        <v>29</v>
      </c>
      <c r="C120" t="s">
        <v>14</v>
      </c>
      <c r="D120">
        <v>62</v>
      </c>
      <c r="E120" t="str">
        <f>_xlfn.CONCAT(A120,B120)</f>
        <v>45968AMZN</v>
      </c>
      <c r="F120" t="str">
        <f>C120</f>
        <v>bullish</v>
      </c>
    </row>
    <row r="121" spans="1:6" x14ac:dyDescent="0.35">
      <c r="A121" s="1">
        <v>45968</v>
      </c>
      <c r="B121" s="7" t="s">
        <v>83</v>
      </c>
      <c r="C121" t="s">
        <v>14</v>
      </c>
      <c r="D121">
        <v>55</v>
      </c>
      <c r="E121" t="str">
        <f>_xlfn.CONCAT(A121,B121)</f>
        <v>45968DASH</v>
      </c>
      <c r="F121" t="str">
        <f>C121</f>
        <v>bullish</v>
      </c>
    </row>
    <row r="122" spans="1:6" x14ac:dyDescent="0.35">
      <c r="A122" s="1">
        <v>45968</v>
      </c>
      <c r="B122" s="7" t="s">
        <v>51</v>
      </c>
      <c r="C122" t="s">
        <v>17</v>
      </c>
      <c r="D122">
        <v>58</v>
      </c>
      <c r="E122" t="str">
        <f>_xlfn.CONCAT(A122,B122)</f>
        <v>45968EXPE</v>
      </c>
      <c r="F122" t="str">
        <f>C122</f>
        <v>bearish</v>
      </c>
    </row>
    <row r="123" spans="1:6" x14ac:dyDescent="0.35">
      <c r="A123" s="1">
        <v>45968</v>
      </c>
      <c r="B123" s="7" t="s">
        <v>49</v>
      </c>
      <c r="C123" t="s">
        <v>17</v>
      </c>
      <c r="D123">
        <v>62</v>
      </c>
      <c r="E123" t="str">
        <f>_xlfn.CONCAT(A123,B123)</f>
        <v>45968LYFT</v>
      </c>
      <c r="F123" t="str">
        <f>C123</f>
        <v>bearish</v>
      </c>
    </row>
    <row r="124" spans="1:6" x14ac:dyDescent="0.35">
      <c r="A124" s="1">
        <v>45968</v>
      </c>
      <c r="B124" s="7" t="s">
        <v>53</v>
      </c>
      <c r="C124" t="s">
        <v>14</v>
      </c>
      <c r="D124">
        <v>63</v>
      </c>
      <c r="E124" t="str">
        <f>_xlfn.CONCAT(A124,B124)</f>
        <v>45968MCD</v>
      </c>
      <c r="F124" t="str">
        <f>C124</f>
        <v>bullish</v>
      </c>
    </row>
    <row r="125" spans="1:6" x14ac:dyDescent="0.35">
      <c r="A125" s="1">
        <v>45971</v>
      </c>
      <c r="B125" s="7" t="s">
        <v>20</v>
      </c>
      <c r="C125" t="s">
        <v>14</v>
      </c>
      <c r="D125">
        <v>62</v>
      </c>
      <c r="E125" t="str">
        <f>_xlfn.CONCAT(A125,B125)</f>
        <v>45971AMD</v>
      </c>
      <c r="F125" t="str">
        <f>C125</f>
        <v>bullish</v>
      </c>
    </row>
    <row r="126" spans="1:6" x14ac:dyDescent="0.35">
      <c r="A126" s="1">
        <v>45971</v>
      </c>
      <c r="B126" s="7" t="s">
        <v>51</v>
      </c>
      <c r="C126" t="s">
        <v>14</v>
      </c>
      <c r="D126">
        <v>56</v>
      </c>
      <c r="E126" t="str">
        <f>_xlfn.CONCAT(A126,B126)</f>
        <v>45971EXPE</v>
      </c>
      <c r="F126" t="str">
        <f>C126</f>
        <v>bullish</v>
      </c>
    </row>
    <row r="127" spans="1:6" x14ac:dyDescent="0.35">
      <c r="A127" s="1">
        <v>45971</v>
      </c>
      <c r="B127" s="7" t="s">
        <v>54</v>
      </c>
      <c r="C127" t="s">
        <v>17</v>
      </c>
      <c r="D127">
        <v>58</v>
      </c>
      <c r="E127" t="str">
        <f>_xlfn.CONCAT(A127,B127)</f>
        <v>45971PENN</v>
      </c>
      <c r="F127" t="str">
        <f>C127</f>
        <v>bearish</v>
      </c>
    </row>
    <row r="128" spans="1:6" x14ac:dyDescent="0.35">
      <c r="A128" s="1">
        <v>45971</v>
      </c>
      <c r="B128" s="7" t="s">
        <v>44</v>
      </c>
      <c r="C128" t="s">
        <v>17</v>
      </c>
      <c r="D128">
        <v>58</v>
      </c>
      <c r="E128" t="str">
        <f>_xlfn.CONCAT(A128,B128)</f>
        <v>45971PTON</v>
      </c>
      <c r="F128" t="str">
        <f>C128</f>
        <v>bearish</v>
      </c>
    </row>
    <row r="129" spans="1:6" x14ac:dyDescent="0.35">
      <c r="A129" s="1">
        <v>45971</v>
      </c>
      <c r="B129" s="7" t="s">
        <v>16</v>
      </c>
      <c r="C129" t="s">
        <v>17</v>
      </c>
      <c r="D129">
        <v>62</v>
      </c>
      <c r="E129" t="str">
        <f>_xlfn.CONCAT(A129,B129)</f>
        <v>45971TSLA</v>
      </c>
      <c r="F129" t="str">
        <f>C129</f>
        <v>bearish</v>
      </c>
    </row>
    <row r="130" spans="1:6" x14ac:dyDescent="0.35">
      <c r="A130" s="1">
        <v>45972</v>
      </c>
      <c r="B130" s="7" t="s">
        <v>20</v>
      </c>
      <c r="C130" t="s">
        <v>17</v>
      </c>
      <c r="D130">
        <v>60</v>
      </c>
      <c r="E130" t="str">
        <f>_xlfn.CONCAT(A130,B130)</f>
        <v>45972AMD</v>
      </c>
      <c r="F130" t="str">
        <f>C130</f>
        <v>bearish</v>
      </c>
    </row>
    <row r="131" spans="1:6" x14ac:dyDescent="0.35">
      <c r="A131" s="1">
        <v>45972</v>
      </c>
      <c r="B131" s="7" t="s">
        <v>55</v>
      </c>
      <c r="C131" t="s">
        <v>14</v>
      </c>
      <c r="D131">
        <v>56</v>
      </c>
      <c r="E131" t="str">
        <f>_xlfn.CONCAT(A131,B131)</f>
        <v>45972CLOV</v>
      </c>
      <c r="F131" t="str">
        <f>C131</f>
        <v>bullish</v>
      </c>
    </row>
    <row r="132" spans="1:6" x14ac:dyDescent="0.35">
      <c r="A132" s="1">
        <v>45972</v>
      </c>
      <c r="B132" s="7" t="s">
        <v>51</v>
      </c>
      <c r="C132" t="s">
        <v>17</v>
      </c>
      <c r="D132">
        <v>58</v>
      </c>
      <c r="E132" t="str">
        <f>_xlfn.CONCAT(A132,B132)</f>
        <v>45972EXPE</v>
      </c>
      <c r="F132" t="str">
        <f>C132</f>
        <v>bearish</v>
      </c>
    </row>
    <row r="133" spans="1:6" x14ac:dyDescent="0.35">
      <c r="A133" s="1">
        <v>45972</v>
      </c>
      <c r="B133" s="7" t="s">
        <v>27</v>
      </c>
      <c r="C133" t="s">
        <v>14</v>
      </c>
      <c r="D133">
        <v>67</v>
      </c>
      <c r="E133" t="str">
        <f>_xlfn.CONCAT(A133,B133)</f>
        <v>45972NVDA</v>
      </c>
      <c r="F133" t="str">
        <f>C133</f>
        <v>bullish</v>
      </c>
    </row>
    <row r="134" spans="1:6" x14ac:dyDescent="0.35">
      <c r="A134" s="1">
        <v>45972</v>
      </c>
      <c r="B134" s="7" t="s">
        <v>16</v>
      </c>
      <c r="C134" t="s">
        <v>17</v>
      </c>
      <c r="D134">
        <v>60</v>
      </c>
      <c r="E134" t="str">
        <f>_xlfn.CONCAT(A134,B134)</f>
        <v>45972TSLA</v>
      </c>
      <c r="F134" t="str">
        <f>C134</f>
        <v>bearish</v>
      </c>
    </row>
    <row r="135" spans="1:6" x14ac:dyDescent="0.35">
      <c r="A135" s="1">
        <v>45973</v>
      </c>
      <c r="B135" s="7" t="s">
        <v>28</v>
      </c>
      <c r="C135" t="s">
        <v>14</v>
      </c>
      <c r="D135">
        <v>62</v>
      </c>
      <c r="E135" t="str">
        <f>_xlfn.CONCAT(A135,B135)</f>
        <v>45973AAPL</v>
      </c>
      <c r="F135" t="str">
        <f>C135</f>
        <v>bullish</v>
      </c>
    </row>
    <row r="136" spans="1:6" x14ac:dyDescent="0.35">
      <c r="A136" s="1">
        <v>45973</v>
      </c>
      <c r="B136" s="7" t="s">
        <v>57</v>
      </c>
      <c r="C136" t="s">
        <v>17</v>
      </c>
      <c r="D136">
        <v>58</v>
      </c>
      <c r="E136" t="str">
        <f>_xlfn.CONCAT(A136,B136)</f>
        <v>45973AMGN</v>
      </c>
      <c r="F136" t="str">
        <f>C136</f>
        <v>bearish</v>
      </c>
    </row>
    <row r="137" spans="1:6" x14ac:dyDescent="0.35">
      <c r="A137" s="1">
        <v>45973</v>
      </c>
      <c r="B137" s="7" t="s">
        <v>27</v>
      </c>
      <c r="C137" t="s">
        <v>14</v>
      </c>
      <c r="D137">
        <v>68</v>
      </c>
      <c r="E137" t="str">
        <f>_xlfn.CONCAT(A137,B137)</f>
        <v>45973NVDA</v>
      </c>
      <c r="F137" t="str">
        <f>C137</f>
        <v>bullish</v>
      </c>
    </row>
    <row r="138" spans="1:6" x14ac:dyDescent="0.35">
      <c r="A138" s="1">
        <v>45973</v>
      </c>
      <c r="B138" s="7" t="s">
        <v>16</v>
      </c>
      <c r="C138" t="s">
        <v>17</v>
      </c>
      <c r="D138">
        <v>62</v>
      </c>
      <c r="E138" t="str">
        <f>_xlfn.CONCAT(A138,B138)</f>
        <v>45973TSLA</v>
      </c>
      <c r="F138" t="str">
        <f>C138</f>
        <v>bearish</v>
      </c>
    </row>
    <row r="139" spans="1:6" x14ac:dyDescent="0.35">
      <c r="A139" s="1">
        <v>45973</v>
      </c>
      <c r="B139" s="7" t="s">
        <v>56</v>
      </c>
      <c r="C139" t="s">
        <v>14</v>
      </c>
      <c r="D139">
        <v>58</v>
      </c>
      <c r="E139" t="str">
        <f>_xlfn.CONCAT(A139,B139)</f>
        <v>45973TSM</v>
      </c>
      <c r="F139" t="str">
        <f>C139</f>
        <v>bullish</v>
      </c>
    </row>
    <row r="140" spans="1:6" x14ac:dyDescent="0.35">
      <c r="A140" s="1">
        <v>45974</v>
      </c>
      <c r="B140" s="7" t="s">
        <v>29</v>
      </c>
      <c r="C140" t="s">
        <v>14</v>
      </c>
      <c r="D140">
        <v>62</v>
      </c>
      <c r="E140" t="str">
        <f>_xlfn.CONCAT(A140,B140)</f>
        <v>45974AMZN</v>
      </c>
      <c r="F140" t="str">
        <f>C140</f>
        <v>bullish</v>
      </c>
    </row>
    <row r="141" spans="1:6" x14ac:dyDescent="0.35">
      <c r="A141" s="1">
        <v>45974</v>
      </c>
      <c r="B141" s="7" t="s">
        <v>58</v>
      </c>
      <c r="C141" t="s">
        <v>14</v>
      </c>
      <c r="D141">
        <v>58</v>
      </c>
      <c r="E141" t="str">
        <f>_xlfn.CONCAT(A141,B141)</f>
        <v>45974CSCO</v>
      </c>
      <c r="F141" t="str">
        <f>C141</f>
        <v>bullish</v>
      </c>
    </row>
    <row r="142" spans="1:6" x14ac:dyDescent="0.35">
      <c r="A142" s="1">
        <v>45974</v>
      </c>
      <c r="B142" s="7" t="s">
        <v>60</v>
      </c>
      <c r="C142" t="s">
        <v>17</v>
      </c>
      <c r="D142">
        <v>62</v>
      </c>
      <c r="E142" t="str">
        <f>_xlfn.CONCAT(A142,B142)</f>
        <v>45974F</v>
      </c>
      <c r="F142" t="str">
        <f>C142</f>
        <v>bearish</v>
      </c>
    </row>
    <row r="143" spans="1:6" x14ac:dyDescent="0.35">
      <c r="A143" s="1">
        <v>45974</v>
      </c>
      <c r="B143" s="7" t="s">
        <v>59</v>
      </c>
      <c r="C143" t="s">
        <v>17</v>
      </c>
      <c r="D143">
        <v>60</v>
      </c>
      <c r="E143" t="str">
        <f>_xlfn.CONCAT(A143,B143)</f>
        <v>45974IBM</v>
      </c>
      <c r="F143" t="str">
        <f>C143</f>
        <v>bearish</v>
      </c>
    </row>
    <row r="144" spans="1:6" x14ac:dyDescent="0.35">
      <c r="A144" s="1">
        <v>45974</v>
      </c>
      <c r="B144" s="7" t="s">
        <v>82</v>
      </c>
      <c r="C144" t="s">
        <v>17</v>
      </c>
      <c r="D144">
        <v>58</v>
      </c>
      <c r="E144" t="str">
        <f>_xlfn.CONCAT(A144,B144)</f>
        <v>45974SPY</v>
      </c>
      <c r="F144" t="str">
        <f>C144</f>
        <v>bearish</v>
      </c>
    </row>
    <row r="145" spans="1:6" x14ac:dyDescent="0.35">
      <c r="A145" s="1">
        <v>45974</v>
      </c>
      <c r="B145" s="7" t="s">
        <v>36</v>
      </c>
      <c r="C145" t="s">
        <v>17</v>
      </c>
      <c r="D145">
        <v>58</v>
      </c>
      <c r="E145" t="str">
        <f>_xlfn.CONCAT(A145,B145)</f>
        <v>45974NFLX</v>
      </c>
      <c r="F145" t="str">
        <f>C145</f>
        <v>bearish</v>
      </c>
    </row>
    <row r="146" spans="1:6" x14ac:dyDescent="0.35">
      <c r="A146" s="1">
        <v>45975</v>
      </c>
      <c r="B146" t="s">
        <v>20</v>
      </c>
      <c r="C146" t="s">
        <v>17</v>
      </c>
      <c r="D146">
        <v>63</v>
      </c>
      <c r="E146" t="str">
        <f>_xlfn.CONCAT(A146,B146)</f>
        <v>45975AMD</v>
      </c>
      <c r="F146" t="str">
        <f>C146</f>
        <v>bearish</v>
      </c>
    </row>
    <row r="147" spans="1:6" x14ac:dyDescent="0.35">
      <c r="A147" s="1">
        <v>45975</v>
      </c>
      <c r="B147" s="7" t="s">
        <v>63</v>
      </c>
      <c r="C147" t="s">
        <v>17</v>
      </c>
      <c r="D147">
        <v>55</v>
      </c>
      <c r="E147" t="str">
        <f>_xlfn.CONCAT(A147,B147)</f>
        <v>45975DIS</v>
      </c>
      <c r="F147" t="str">
        <f>C147</f>
        <v>bearish</v>
      </c>
    </row>
    <row r="148" spans="1:6" x14ac:dyDescent="0.35">
      <c r="A148" s="1">
        <v>45975</v>
      </c>
      <c r="B148" s="7" t="s">
        <v>62</v>
      </c>
      <c r="C148" t="s">
        <v>14</v>
      </c>
      <c r="D148">
        <v>65</v>
      </c>
      <c r="E148" t="str">
        <f>_xlfn.CONCAT(A148,B148)</f>
        <v>45975MU</v>
      </c>
      <c r="F148" t="str">
        <f>C148</f>
        <v>bullish</v>
      </c>
    </row>
    <row r="149" spans="1:6" x14ac:dyDescent="0.35">
      <c r="A149" s="1">
        <v>45975</v>
      </c>
      <c r="B149" s="7" t="s">
        <v>61</v>
      </c>
      <c r="C149" t="s">
        <v>17</v>
      </c>
      <c r="D149">
        <v>56</v>
      </c>
      <c r="E149" t="str">
        <f>_xlfn.CONCAT(A149,B149)</f>
        <v>45975NKE</v>
      </c>
      <c r="F149" t="str">
        <f>C149</f>
        <v>bearish</v>
      </c>
    </row>
    <row r="150" spans="1:6" x14ac:dyDescent="0.35">
      <c r="A150" s="1">
        <v>45975</v>
      </c>
      <c r="B150" s="7" t="s">
        <v>27</v>
      </c>
      <c r="C150" t="s">
        <v>17</v>
      </c>
      <c r="D150">
        <v>62</v>
      </c>
      <c r="E150" t="str">
        <f>_xlfn.CONCAT(A150,B150)</f>
        <v>45975NVDA</v>
      </c>
      <c r="F150" t="str">
        <f>C150</f>
        <v>bearish</v>
      </c>
    </row>
    <row r="151" spans="1:6" x14ac:dyDescent="0.35">
      <c r="A151" s="1">
        <v>45978</v>
      </c>
      <c r="B151" s="7" t="s">
        <v>28</v>
      </c>
      <c r="C151" t="s">
        <v>14</v>
      </c>
      <c r="D151">
        <v>58</v>
      </c>
      <c r="E151" t="str">
        <f>_xlfn.CONCAT(A151,B151)</f>
        <v>45978AAPL</v>
      </c>
      <c r="F151" t="str">
        <f>C151</f>
        <v>bullish</v>
      </c>
    </row>
    <row r="152" spans="1:6" x14ac:dyDescent="0.35">
      <c r="A152" s="1">
        <v>45978</v>
      </c>
      <c r="B152" s="7" t="s">
        <v>29</v>
      </c>
      <c r="C152" t="s">
        <v>14</v>
      </c>
      <c r="D152">
        <v>62</v>
      </c>
      <c r="E152" t="str">
        <f>_xlfn.CONCAT(A152,B152)</f>
        <v>45978AMZN</v>
      </c>
      <c r="F152" t="str">
        <f>C152</f>
        <v>bullish</v>
      </c>
    </row>
    <row r="153" spans="1:6" x14ac:dyDescent="0.35">
      <c r="A153" s="1">
        <v>45978</v>
      </c>
      <c r="B153" s="7" t="s">
        <v>64</v>
      </c>
      <c r="C153" t="s">
        <v>17</v>
      </c>
      <c r="D153">
        <v>68</v>
      </c>
      <c r="E153" t="str">
        <f>_xlfn.CONCAT(A153,B153)</f>
        <v>45978GOOGL</v>
      </c>
      <c r="F153" t="str">
        <f>C153</f>
        <v>bearish</v>
      </c>
    </row>
    <row r="154" spans="1:6" x14ac:dyDescent="0.35">
      <c r="A154" s="1">
        <v>45978</v>
      </c>
      <c r="B154" s="7" t="s">
        <v>13</v>
      </c>
      <c r="C154" t="s">
        <v>21</v>
      </c>
      <c r="D154">
        <v>62</v>
      </c>
      <c r="E154" t="str">
        <f>_xlfn.CONCAT(A154,B154)</f>
        <v>45978MSFT</v>
      </c>
      <c r="F154" t="str">
        <f>C154</f>
        <v>neutral</v>
      </c>
    </row>
    <row r="155" spans="1:6" x14ac:dyDescent="0.35">
      <c r="A155" s="1">
        <v>45978</v>
      </c>
      <c r="B155" t="s">
        <v>27</v>
      </c>
      <c r="C155" t="s">
        <v>14</v>
      </c>
      <c r="D155">
        <v>56</v>
      </c>
      <c r="E155" t="str">
        <f>_xlfn.CONCAT(A155,B155)</f>
        <v>45978NVDA</v>
      </c>
      <c r="F155" t="str">
        <f>C155</f>
        <v>bullish</v>
      </c>
    </row>
    <row r="156" spans="1:6" x14ac:dyDescent="0.35">
      <c r="A156" s="1">
        <v>45979</v>
      </c>
      <c r="B156" s="7" t="s">
        <v>65</v>
      </c>
      <c r="C156" t="s">
        <v>14</v>
      </c>
      <c r="D156">
        <v>60</v>
      </c>
      <c r="E156" t="str">
        <f>_xlfn.CONCAT(A156,B156)</f>
        <v>45979ADBE</v>
      </c>
      <c r="F156" t="str">
        <f>C156</f>
        <v>bullish</v>
      </c>
    </row>
    <row r="157" spans="1:6" x14ac:dyDescent="0.35">
      <c r="A157" s="1">
        <v>45979</v>
      </c>
      <c r="B157" s="7" t="s">
        <v>69</v>
      </c>
      <c r="C157" t="s">
        <v>17</v>
      </c>
      <c r="D157">
        <v>57</v>
      </c>
      <c r="E157" t="str">
        <f>_xlfn.CONCAT(A157,B157)</f>
        <v>45979SQ</v>
      </c>
      <c r="F157" t="str">
        <f>C157</f>
        <v>bearish</v>
      </c>
    </row>
    <row r="158" spans="1:6" x14ac:dyDescent="0.35">
      <c r="A158" s="1">
        <v>45979</v>
      </c>
      <c r="B158" s="7" t="s">
        <v>67</v>
      </c>
      <c r="C158" t="s">
        <v>14</v>
      </c>
      <c r="D158">
        <v>62</v>
      </c>
      <c r="E158" t="str">
        <f>_xlfn.CONCAT(A158,B158)</f>
        <v>45979CRM</v>
      </c>
      <c r="F158" t="str">
        <f>C158</f>
        <v>bullish</v>
      </c>
    </row>
    <row r="159" spans="1:6" x14ac:dyDescent="0.35">
      <c r="A159" s="1">
        <v>45979</v>
      </c>
      <c r="B159" s="7" t="s">
        <v>27</v>
      </c>
      <c r="C159" t="s">
        <v>14</v>
      </c>
      <c r="D159">
        <v>60</v>
      </c>
      <c r="E159" t="str">
        <f>_xlfn.CONCAT(A159,B159)</f>
        <v>45979NVDA</v>
      </c>
      <c r="F159" t="str">
        <f>C159</f>
        <v>bullish</v>
      </c>
    </row>
    <row r="160" spans="1:6" x14ac:dyDescent="0.35">
      <c r="A160" s="1">
        <v>45979</v>
      </c>
      <c r="B160" s="7" t="s">
        <v>68</v>
      </c>
      <c r="C160" t="s">
        <v>14</v>
      </c>
      <c r="D160">
        <v>58</v>
      </c>
      <c r="E160" t="str">
        <f>_xlfn.CONCAT(A160,B160)</f>
        <v>45979ORCL</v>
      </c>
      <c r="F160" t="str">
        <f>C160</f>
        <v>bullish</v>
      </c>
    </row>
    <row r="161" spans="1:6" x14ac:dyDescent="0.35">
      <c r="A161" s="1">
        <v>45980</v>
      </c>
      <c r="B161" s="7" t="s">
        <v>28</v>
      </c>
      <c r="C161" t="s">
        <v>14</v>
      </c>
      <c r="D161">
        <v>58</v>
      </c>
      <c r="E161" t="str">
        <f>_xlfn.CONCAT(A161,B161)</f>
        <v>45980AAPL</v>
      </c>
      <c r="F161" t="str">
        <f>C161</f>
        <v>bullish</v>
      </c>
    </row>
    <row r="162" spans="1:6" x14ac:dyDescent="0.35">
      <c r="A162" s="1">
        <v>45980</v>
      </c>
      <c r="B162" s="7" t="s">
        <v>29</v>
      </c>
      <c r="C162" t="s">
        <v>14</v>
      </c>
      <c r="D162">
        <v>66</v>
      </c>
      <c r="E162" t="str">
        <f>_xlfn.CONCAT(A162,B162)</f>
        <v>45980AMZN</v>
      </c>
      <c r="F162" t="str">
        <f>C162</f>
        <v>bullish</v>
      </c>
    </row>
    <row r="163" spans="1:6" x14ac:dyDescent="0.35">
      <c r="A163" s="1">
        <v>45980</v>
      </c>
      <c r="B163" s="7" t="s">
        <v>63</v>
      </c>
      <c r="C163" t="s">
        <v>14</v>
      </c>
      <c r="D163">
        <v>58</v>
      </c>
      <c r="E163" t="str">
        <f>_xlfn.CONCAT(A163,B163)</f>
        <v>45980DIS</v>
      </c>
      <c r="F163" t="str">
        <f>C163</f>
        <v>bullish</v>
      </c>
    </row>
    <row r="164" spans="1:6" x14ac:dyDescent="0.35">
      <c r="A164" s="1">
        <v>45980</v>
      </c>
      <c r="B164" s="7" t="s">
        <v>43</v>
      </c>
      <c r="C164" t="s">
        <v>17</v>
      </c>
      <c r="D164">
        <v>58</v>
      </c>
      <c r="E164" t="str">
        <f>_xlfn.CONCAT(A164,B164)</f>
        <v>45980GOOG</v>
      </c>
      <c r="F164" t="str">
        <f>C164</f>
        <v>bearish</v>
      </c>
    </row>
    <row r="165" spans="1:6" x14ac:dyDescent="0.35">
      <c r="A165" s="1">
        <v>45980</v>
      </c>
      <c r="B165" s="7" t="s">
        <v>27</v>
      </c>
      <c r="C165" t="s">
        <v>14</v>
      </c>
      <c r="D165">
        <v>62</v>
      </c>
      <c r="E165" t="str">
        <f>_xlfn.CONCAT(A165,B165)</f>
        <v>45980NVDA</v>
      </c>
      <c r="F165" t="str">
        <f>C165</f>
        <v>bullish</v>
      </c>
    </row>
    <row r="166" spans="1:6" x14ac:dyDescent="0.35">
      <c r="A166" s="1">
        <v>45981</v>
      </c>
      <c r="B166" s="7" t="s">
        <v>41</v>
      </c>
      <c r="C166" t="s">
        <v>14</v>
      </c>
      <c r="D166">
        <v>52</v>
      </c>
      <c r="E166" t="str">
        <f>_xlfn.CONCAT(A166,B166)</f>
        <v>45981META</v>
      </c>
      <c r="F166" t="str">
        <f>C166</f>
        <v>bullish</v>
      </c>
    </row>
    <row r="167" spans="1:6" x14ac:dyDescent="0.35">
      <c r="A167" s="1">
        <v>45981</v>
      </c>
      <c r="B167" s="7" t="s">
        <v>13</v>
      </c>
      <c r="C167" t="s">
        <v>14</v>
      </c>
      <c r="D167">
        <v>64</v>
      </c>
      <c r="E167" t="str">
        <f>_xlfn.CONCAT(A167,B167)</f>
        <v>45981MSFT</v>
      </c>
      <c r="F167" t="str">
        <f>C167</f>
        <v>bullish</v>
      </c>
    </row>
    <row r="168" spans="1:6" x14ac:dyDescent="0.35">
      <c r="A168" s="1">
        <v>45981</v>
      </c>
      <c r="B168" s="7" t="s">
        <v>36</v>
      </c>
      <c r="C168" t="s">
        <v>14</v>
      </c>
      <c r="D168">
        <v>58</v>
      </c>
      <c r="E168" t="str">
        <f>_xlfn.CONCAT(A168,B168)</f>
        <v>45981NFLX</v>
      </c>
      <c r="F168" t="str">
        <f>C168</f>
        <v>bullish</v>
      </c>
    </row>
    <row r="169" spans="1:6" x14ac:dyDescent="0.35">
      <c r="A169" s="1">
        <v>45981</v>
      </c>
      <c r="B169" s="7" t="s">
        <v>69</v>
      </c>
      <c r="C169" t="s">
        <v>14</v>
      </c>
      <c r="D169">
        <v>58</v>
      </c>
      <c r="E169" t="str">
        <f>_xlfn.CONCAT(A169,B169)</f>
        <v>45981SQ</v>
      </c>
      <c r="F169" t="str">
        <f>C169</f>
        <v>bullish</v>
      </c>
    </row>
    <row r="170" spans="1:6" x14ac:dyDescent="0.35">
      <c r="A170" s="1">
        <v>45981</v>
      </c>
      <c r="B170" s="7" t="s">
        <v>16</v>
      </c>
      <c r="C170" t="s">
        <v>17</v>
      </c>
      <c r="D170">
        <v>58</v>
      </c>
      <c r="E170" t="str">
        <f>_xlfn.CONCAT(A170,B170)</f>
        <v>45981TSLA</v>
      </c>
      <c r="F170" t="str">
        <f>C170</f>
        <v>bearish</v>
      </c>
    </row>
    <row r="171" spans="1:6" x14ac:dyDescent="0.35">
      <c r="A171" s="1">
        <v>45982</v>
      </c>
      <c r="B171" s="7" t="s">
        <v>71</v>
      </c>
      <c r="C171" t="s">
        <v>14</v>
      </c>
      <c r="D171">
        <v>58</v>
      </c>
      <c r="E171" t="str">
        <f>_xlfn.CONCAT(A171,B171)</f>
        <v>45982GPS</v>
      </c>
      <c r="F171" t="str">
        <f>C171</f>
        <v>bullish</v>
      </c>
    </row>
    <row r="172" spans="1:6" x14ac:dyDescent="0.35">
      <c r="A172" s="1">
        <v>45982</v>
      </c>
      <c r="B172" s="7" t="s">
        <v>73</v>
      </c>
      <c r="C172" t="s">
        <v>17</v>
      </c>
      <c r="D172">
        <v>58</v>
      </c>
      <c r="E172" t="str">
        <f>_xlfn.CONCAT(A172,B172)</f>
        <v>45982LOW</v>
      </c>
      <c r="F172" t="str">
        <f>C172</f>
        <v>bearish</v>
      </c>
    </row>
    <row r="173" spans="1:6" x14ac:dyDescent="0.35">
      <c r="A173" s="1">
        <v>45982</v>
      </c>
      <c r="B173" s="7" t="s">
        <v>27</v>
      </c>
      <c r="C173" t="s">
        <v>14</v>
      </c>
      <c r="D173">
        <v>67</v>
      </c>
      <c r="E173" t="str">
        <f>_xlfn.CONCAT(A173,B173)</f>
        <v>45982NVDA</v>
      </c>
      <c r="F173" t="str">
        <f>C173</f>
        <v>bullish</v>
      </c>
    </row>
    <row r="174" spans="1:6" x14ac:dyDescent="0.35">
      <c r="A174" s="1">
        <v>45982</v>
      </c>
      <c r="B174" s="7" t="s">
        <v>70</v>
      </c>
      <c r="C174" t="s">
        <v>14</v>
      </c>
      <c r="D174">
        <v>64</v>
      </c>
      <c r="E174" t="str">
        <f>_xlfn.CONCAT(A174,B174)</f>
        <v>45982ROST</v>
      </c>
      <c r="F174" t="str">
        <f>C174</f>
        <v>bullish</v>
      </c>
    </row>
    <row r="175" spans="1:6" x14ac:dyDescent="0.35">
      <c r="A175" s="1">
        <v>45982</v>
      </c>
      <c r="B175" s="7" t="s">
        <v>72</v>
      </c>
      <c r="C175" t="s">
        <v>14</v>
      </c>
      <c r="D175">
        <v>58</v>
      </c>
      <c r="E175" t="str">
        <f>_xlfn.CONCAT(A175,B175)</f>
        <v>45982TJX</v>
      </c>
      <c r="F175" t="str">
        <f>C175</f>
        <v>bullish</v>
      </c>
    </row>
    <row r="176" spans="1:6" x14ac:dyDescent="0.35">
      <c r="A176" s="1">
        <v>45985</v>
      </c>
      <c r="B176" s="7" t="s">
        <v>28</v>
      </c>
      <c r="C176" t="s">
        <v>17</v>
      </c>
      <c r="D176">
        <v>58</v>
      </c>
      <c r="E176" t="str">
        <f>_xlfn.CONCAT(A176,B176)</f>
        <v>45985AAPL</v>
      </c>
      <c r="F176" t="str">
        <f>C176</f>
        <v>bearish</v>
      </c>
    </row>
    <row r="177" spans="1:6" x14ac:dyDescent="0.35">
      <c r="A177" s="1">
        <v>45985</v>
      </c>
      <c r="B177" s="7" t="s">
        <v>29</v>
      </c>
      <c r="C177" t="s">
        <v>14</v>
      </c>
      <c r="D177">
        <v>62</v>
      </c>
      <c r="E177" t="str">
        <f>_xlfn.CONCAT(A177,B177)</f>
        <v>45985AMZN</v>
      </c>
      <c r="F177" t="str">
        <f>C177</f>
        <v>bullish</v>
      </c>
    </row>
    <row r="178" spans="1:6" x14ac:dyDescent="0.35">
      <c r="A178" s="1">
        <v>45985</v>
      </c>
      <c r="B178" s="7" t="s">
        <v>41</v>
      </c>
      <c r="C178" t="s">
        <v>14</v>
      </c>
      <c r="D178">
        <v>62</v>
      </c>
      <c r="E178" t="str">
        <f>_xlfn.CONCAT(A178,B178)</f>
        <v>45985META</v>
      </c>
      <c r="F178" t="str">
        <f>C178</f>
        <v>bullish</v>
      </c>
    </row>
    <row r="179" spans="1:6" x14ac:dyDescent="0.35">
      <c r="A179" s="1">
        <v>45985</v>
      </c>
      <c r="B179" s="7" t="s">
        <v>64</v>
      </c>
      <c r="C179" t="s">
        <v>14</v>
      </c>
      <c r="D179">
        <v>62</v>
      </c>
      <c r="E179" t="str">
        <f>_xlfn.CONCAT(A179,B179)</f>
        <v>45985GOOGL</v>
      </c>
      <c r="F179" t="str">
        <f>C179</f>
        <v>bullish</v>
      </c>
    </row>
    <row r="180" spans="1:6" x14ac:dyDescent="0.35">
      <c r="A180" s="1">
        <v>45985</v>
      </c>
      <c r="B180" s="7" t="s">
        <v>27</v>
      </c>
      <c r="C180" t="s">
        <v>14</v>
      </c>
      <c r="D180">
        <v>70</v>
      </c>
      <c r="E180" t="str">
        <f>_xlfn.CONCAT(A180,B180)</f>
        <v>45985NVDA</v>
      </c>
      <c r="F180" t="str">
        <f>C180</f>
        <v>bullish</v>
      </c>
    </row>
    <row r="181" spans="1:6" x14ac:dyDescent="0.35">
      <c r="A181" s="1">
        <v>45986</v>
      </c>
      <c r="B181" s="7" t="s">
        <v>28</v>
      </c>
      <c r="C181" t="s">
        <v>17</v>
      </c>
      <c r="D181">
        <v>58</v>
      </c>
      <c r="E181" t="str">
        <f>_xlfn.CONCAT(A181,B181)</f>
        <v>45986AAPL</v>
      </c>
      <c r="F181" t="str">
        <f>C181</f>
        <v>bearish</v>
      </c>
    </row>
    <row r="182" spans="1:6" x14ac:dyDescent="0.35">
      <c r="A182" s="1">
        <v>45986</v>
      </c>
      <c r="B182" s="7" t="s">
        <v>29</v>
      </c>
      <c r="C182" t="s">
        <v>14</v>
      </c>
      <c r="D182">
        <v>62</v>
      </c>
      <c r="E182" t="str">
        <f>_xlfn.CONCAT(A182,B182)</f>
        <v>45986AMZN</v>
      </c>
      <c r="F182" t="str">
        <f>C182</f>
        <v>bullish</v>
      </c>
    </row>
    <row r="183" spans="1:6" x14ac:dyDescent="0.35">
      <c r="A183" s="1">
        <v>45986</v>
      </c>
      <c r="B183" s="7" t="s">
        <v>64</v>
      </c>
      <c r="C183" t="s">
        <v>17</v>
      </c>
      <c r="D183">
        <v>62</v>
      </c>
      <c r="E183" t="str">
        <f>_xlfn.CONCAT(A183,B183)</f>
        <v>45986GOOGL</v>
      </c>
      <c r="F183" t="str">
        <f>C183</f>
        <v>bearish</v>
      </c>
    </row>
    <row r="184" spans="1:6" x14ac:dyDescent="0.35">
      <c r="A184" s="1">
        <v>45986</v>
      </c>
      <c r="B184" s="7" t="s">
        <v>41</v>
      </c>
      <c r="C184" t="s">
        <v>14</v>
      </c>
      <c r="D184">
        <v>60</v>
      </c>
      <c r="E184" t="str">
        <f>_xlfn.CONCAT(A184,B184)</f>
        <v>45986META</v>
      </c>
      <c r="F184" t="str">
        <f>C184</f>
        <v>bullish</v>
      </c>
    </row>
    <row r="185" spans="1:6" x14ac:dyDescent="0.35">
      <c r="A185" s="1">
        <v>45986</v>
      </c>
      <c r="B185" s="7" t="s">
        <v>27</v>
      </c>
      <c r="C185" t="s">
        <v>14</v>
      </c>
      <c r="D185">
        <v>58</v>
      </c>
      <c r="E185" t="str">
        <f>_xlfn.CONCAT(A185,B185)</f>
        <v>45986NVDA</v>
      </c>
      <c r="F185" t="str">
        <f>C185</f>
        <v>bullish</v>
      </c>
    </row>
    <row r="186" spans="1:6" x14ac:dyDescent="0.35">
      <c r="A186" s="1">
        <v>45987</v>
      </c>
      <c r="B186" s="7" t="s">
        <v>29</v>
      </c>
      <c r="C186" t="s">
        <v>14</v>
      </c>
      <c r="D186">
        <v>62</v>
      </c>
      <c r="E186" t="str">
        <f>_xlfn.CONCAT(A186,B186)</f>
        <v>45987AMZN</v>
      </c>
      <c r="F186" t="str">
        <f>C186</f>
        <v>bullish</v>
      </c>
    </row>
    <row r="187" spans="1:6" x14ac:dyDescent="0.35">
      <c r="A187" s="1">
        <v>45987</v>
      </c>
      <c r="B187" s="7" t="s">
        <v>81</v>
      </c>
      <c r="C187" t="s">
        <v>17</v>
      </c>
      <c r="D187">
        <v>64</v>
      </c>
      <c r="E187" t="str">
        <f>_xlfn.CONCAT(A187,B187)</f>
        <v>45987KSS</v>
      </c>
      <c r="F187" t="str">
        <f>C187</f>
        <v>bearish</v>
      </c>
    </row>
    <row r="188" spans="1:6" x14ac:dyDescent="0.35">
      <c r="A188" s="1">
        <v>45987</v>
      </c>
      <c r="B188" s="7" t="s">
        <v>41</v>
      </c>
      <c r="C188" t="s">
        <v>14</v>
      </c>
      <c r="D188">
        <v>58</v>
      </c>
      <c r="E188" t="str">
        <f>_xlfn.CONCAT(A188,B188)</f>
        <v>45987META</v>
      </c>
      <c r="F188" t="str">
        <f>C188</f>
        <v>bullish</v>
      </c>
    </row>
    <row r="189" spans="1:6" x14ac:dyDescent="0.35">
      <c r="A189" s="1">
        <v>45987</v>
      </c>
      <c r="B189" s="7" t="s">
        <v>27</v>
      </c>
      <c r="C189" t="s">
        <v>17</v>
      </c>
      <c r="D189">
        <v>58</v>
      </c>
      <c r="E189" t="str">
        <f>_xlfn.CONCAT(A189,B189)</f>
        <v>45987NVDA</v>
      </c>
      <c r="F189" t="str">
        <f>C189</f>
        <v>bearish</v>
      </c>
    </row>
    <row r="190" spans="1:6" x14ac:dyDescent="0.35">
      <c r="A190" s="1">
        <v>45987</v>
      </c>
      <c r="B190" s="7" t="s">
        <v>76</v>
      </c>
      <c r="C190" t="s">
        <v>17</v>
      </c>
      <c r="D190">
        <v>64</v>
      </c>
      <c r="E190" t="str">
        <f>_xlfn.CONCAT(A190,B190)</f>
        <v>45987PARAA</v>
      </c>
      <c r="F190" t="str">
        <f>C190</f>
        <v>bearish</v>
      </c>
    </row>
    <row r="191" spans="1:6" x14ac:dyDescent="0.35">
      <c r="A191" s="1">
        <v>45988</v>
      </c>
      <c r="B191" s="7" t="s">
        <v>28</v>
      </c>
      <c r="C191" t="s">
        <v>17</v>
      </c>
      <c r="D191">
        <v>58</v>
      </c>
      <c r="E191" t="str">
        <f>_xlfn.CONCAT(A191,B191)</f>
        <v>45988AAPL</v>
      </c>
      <c r="F191" t="str">
        <f>C191</f>
        <v>bearish</v>
      </c>
    </row>
    <row r="192" spans="1:6" x14ac:dyDescent="0.35">
      <c r="A192" s="1">
        <v>45988</v>
      </c>
      <c r="B192" s="7" t="s">
        <v>29</v>
      </c>
      <c r="C192" t="s">
        <v>14</v>
      </c>
      <c r="D192">
        <v>65</v>
      </c>
      <c r="E192" t="str">
        <f>_xlfn.CONCAT(A192,B192)</f>
        <v>45988AMZN</v>
      </c>
      <c r="F192" t="str">
        <f>C192</f>
        <v>bullish</v>
      </c>
    </row>
    <row r="193" spans="1:6" x14ac:dyDescent="0.35">
      <c r="A193" s="1">
        <v>45988</v>
      </c>
      <c r="B193" s="7" t="s">
        <v>63</v>
      </c>
      <c r="C193" t="s">
        <v>17</v>
      </c>
      <c r="D193">
        <v>58</v>
      </c>
      <c r="E193" t="str">
        <f>_xlfn.CONCAT(A193,B193)</f>
        <v>45988DIS</v>
      </c>
      <c r="F193" t="str">
        <f>C193</f>
        <v>bearish</v>
      </c>
    </row>
    <row r="194" spans="1:6" x14ac:dyDescent="0.35">
      <c r="A194" s="1">
        <v>45988</v>
      </c>
      <c r="B194" s="7" t="s">
        <v>41</v>
      </c>
      <c r="C194" t="s">
        <v>14</v>
      </c>
      <c r="D194">
        <v>58</v>
      </c>
      <c r="E194" t="str">
        <f>_xlfn.CONCAT(A194,B194)</f>
        <v>45988META</v>
      </c>
      <c r="F194" t="str">
        <f>C194</f>
        <v>bullish</v>
      </c>
    </row>
    <row r="195" spans="1:6" x14ac:dyDescent="0.35">
      <c r="A195" s="1">
        <v>45988</v>
      </c>
      <c r="B195" t="s">
        <v>27</v>
      </c>
      <c r="C195" t="s">
        <v>14</v>
      </c>
      <c r="D195">
        <v>65</v>
      </c>
      <c r="E195" t="str">
        <f>_xlfn.CONCAT(A195,B195)</f>
        <v>45988NVDA</v>
      </c>
      <c r="F195" t="str">
        <f>C195</f>
        <v>bullish</v>
      </c>
    </row>
  </sheetData>
  <autoFilter ref="A1:D195" xr:uid="{F4CBF93E-D908-482E-88C1-7FC9EBFA7C40}">
    <sortState xmlns:xlrd2="http://schemas.microsoft.com/office/spreadsheetml/2017/richdata2" ref="A2:D195">
      <sortCondition ref="A1:A1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F870-53E9-4E76-A754-6DD583CDB56A}">
  <dimension ref="A1:N266"/>
  <sheetViews>
    <sheetView tabSelected="1" workbookViewId="0">
      <pane ySplit="1" topLeftCell="A210" activePane="bottomLeft" state="frozen"/>
      <selection pane="bottomLeft" activeCell="C212" sqref="C212:C266"/>
    </sheetView>
  </sheetViews>
  <sheetFormatPr defaultRowHeight="14.5" x14ac:dyDescent="0.35"/>
  <cols>
    <col min="1" max="1" width="10.08984375" bestFit="1" customWidth="1"/>
    <col min="2" max="2" width="10.08984375" style="4" bestFit="1" customWidth="1"/>
    <col min="3" max="3" width="10.54296875" bestFit="1" customWidth="1"/>
    <col min="4" max="4" width="10.54296875" customWidth="1"/>
    <col min="5" max="5" width="6.81640625" bestFit="1" customWidth="1"/>
    <col min="6" max="6" width="12.08984375" bestFit="1" customWidth="1"/>
    <col min="7" max="10" width="6.81640625" bestFit="1" customWidth="1"/>
    <col min="11" max="11" width="10.453125" bestFit="1" customWidth="1"/>
    <col min="12" max="12" width="11.81640625" bestFit="1" customWidth="1"/>
    <col min="13" max="13" width="14.08984375" bestFit="1" customWidth="1"/>
    <col min="14" max="14" width="13.6328125" bestFit="1" customWidth="1"/>
  </cols>
  <sheetData>
    <row r="1" spans="1:14" x14ac:dyDescent="0.35">
      <c r="A1" t="s">
        <v>0</v>
      </c>
      <c r="B1" s="4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s="1">
        <v>45953</v>
      </c>
      <c r="B2" s="4">
        <v>45953</v>
      </c>
      <c r="C2" t="s">
        <v>13</v>
      </c>
      <c r="D2">
        <v>1</v>
      </c>
      <c r="E2" t="s">
        <v>14</v>
      </c>
      <c r="F2">
        <v>1</v>
      </c>
      <c r="G2">
        <v>521.48</v>
      </c>
      <c r="H2">
        <v>522.97</v>
      </c>
      <c r="I2">
        <v>517.64</v>
      </c>
      <c r="J2">
        <v>519.59</v>
      </c>
      <c r="K2">
        <v>-1.89</v>
      </c>
      <c r="L2" t="s">
        <v>15</v>
      </c>
      <c r="M2">
        <v>0</v>
      </c>
      <c r="N2">
        <v>-3.5999999999999999E-3</v>
      </c>
    </row>
    <row r="3" spans="1:14" x14ac:dyDescent="0.35">
      <c r="A3" s="1">
        <v>45953</v>
      </c>
      <c r="B3" s="4">
        <v>45953</v>
      </c>
      <c r="C3" t="s">
        <v>16</v>
      </c>
      <c r="D3">
        <v>2</v>
      </c>
      <c r="E3" t="s">
        <v>17</v>
      </c>
      <c r="F3">
        <v>1</v>
      </c>
      <c r="G3">
        <v>420</v>
      </c>
      <c r="H3">
        <v>449.4</v>
      </c>
      <c r="I3">
        <v>413.9</v>
      </c>
      <c r="J3">
        <v>448.98</v>
      </c>
      <c r="K3">
        <v>28.98</v>
      </c>
      <c r="L3" t="s">
        <v>15</v>
      </c>
      <c r="M3">
        <v>2.2799999999999998</v>
      </c>
      <c r="N3">
        <v>6.9000000000000006E-2</v>
      </c>
    </row>
    <row r="4" spans="1:14" x14ac:dyDescent="0.35">
      <c r="A4" s="1">
        <v>45953</v>
      </c>
      <c r="B4" s="4">
        <v>45953</v>
      </c>
      <c r="C4" t="s">
        <v>18</v>
      </c>
      <c r="D4">
        <v>3</v>
      </c>
      <c r="E4" t="s">
        <v>14</v>
      </c>
      <c r="F4">
        <v>1</v>
      </c>
      <c r="G4">
        <v>201.43</v>
      </c>
      <c r="H4">
        <v>208.44</v>
      </c>
      <c r="I4">
        <v>200.73</v>
      </c>
      <c r="J4">
        <v>206.74</v>
      </c>
      <c r="K4">
        <v>5.31</v>
      </c>
      <c r="L4" t="s">
        <v>15</v>
      </c>
      <c r="M4">
        <v>6.81</v>
      </c>
      <c r="N4">
        <v>2.64E-2</v>
      </c>
    </row>
    <row r="5" spans="1:14" x14ac:dyDescent="0.35">
      <c r="A5" s="1">
        <v>45953</v>
      </c>
      <c r="B5" s="4">
        <v>45953</v>
      </c>
      <c r="C5" t="s">
        <v>19</v>
      </c>
      <c r="D5">
        <v>4</v>
      </c>
      <c r="E5" t="s">
        <v>14</v>
      </c>
      <c r="F5">
        <v>1</v>
      </c>
      <c r="G5">
        <v>12.74</v>
      </c>
      <c r="H5">
        <v>13.04</v>
      </c>
      <c r="I5">
        <v>12.35</v>
      </c>
      <c r="J5">
        <v>12.77</v>
      </c>
      <c r="K5">
        <v>0.03</v>
      </c>
      <c r="L5" t="s">
        <v>15</v>
      </c>
      <c r="M5">
        <v>5.62</v>
      </c>
      <c r="N5">
        <v>2.3999999999999998E-3</v>
      </c>
    </row>
    <row r="6" spans="1:14" x14ac:dyDescent="0.35">
      <c r="A6" s="1">
        <v>45954</v>
      </c>
      <c r="B6" s="4">
        <v>45954</v>
      </c>
      <c r="C6" t="s">
        <v>20</v>
      </c>
      <c r="D6">
        <v>8</v>
      </c>
      <c r="E6" t="s">
        <v>14</v>
      </c>
      <c r="F6">
        <v>1</v>
      </c>
      <c r="G6">
        <v>243.36</v>
      </c>
      <c r="H6">
        <v>253.39</v>
      </c>
      <c r="I6">
        <v>241.95</v>
      </c>
      <c r="J6">
        <v>252.92</v>
      </c>
      <c r="K6">
        <v>9.56</v>
      </c>
      <c r="L6" t="s">
        <v>15</v>
      </c>
      <c r="M6">
        <v>7.63</v>
      </c>
      <c r="N6">
        <v>3.9300000000000002E-2</v>
      </c>
    </row>
    <row r="7" spans="1:14" x14ac:dyDescent="0.35">
      <c r="A7" s="1">
        <v>45954</v>
      </c>
      <c r="B7" s="4">
        <v>45954</v>
      </c>
      <c r="C7" t="s">
        <v>13</v>
      </c>
      <c r="D7">
        <v>9</v>
      </c>
      <c r="E7" t="s">
        <v>21</v>
      </c>
      <c r="F7">
        <v>1</v>
      </c>
      <c r="G7">
        <v>521.80999999999995</v>
      </c>
      <c r="H7">
        <v>524.37</v>
      </c>
      <c r="I7">
        <v>519.74</v>
      </c>
      <c r="J7">
        <v>522.63</v>
      </c>
      <c r="K7">
        <v>0.82</v>
      </c>
      <c r="L7" t="s">
        <v>15</v>
      </c>
      <c r="M7">
        <v>0.59</v>
      </c>
      <c r="N7">
        <v>1.6000000000000001E-3</v>
      </c>
    </row>
    <row r="8" spans="1:14" x14ac:dyDescent="0.35">
      <c r="A8" s="1">
        <v>45954</v>
      </c>
      <c r="B8" s="4">
        <v>45954</v>
      </c>
      <c r="C8" t="s">
        <v>22</v>
      </c>
      <c r="D8">
        <v>10</v>
      </c>
      <c r="E8" t="s">
        <v>17</v>
      </c>
      <c r="F8">
        <v>1</v>
      </c>
      <c r="G8">
        <v>67.459999999999994</v>
      </c>
      <c r="H8">
        <v>69.7</v>
      </c>
      <c r="I8">
        <v>67.290000000000006</v>
      </c>
      <c r="J8">
        <v>69.66</v>
      </c>
      <c r="K8">
        <v>2.2000000000000002</v>
      </c>
      <c r="L8" t="s">
        <v>15</v>
      </c>
      <c r="M8">
        <v>4.2</v>
      </c>
      <c r="N8">
        <v>3.2599999999999997E-2</v>
      </c>
    </row>
    <row r="9" spans="1:14" x14ac:dyDescent="0.35">
      <c r="A9" s="1">
        <v>45954</v>
      </c>
      <c r="B9" s="4">
        <v>45954</v>
      </c>
      <c r="C9" t="s">
        <v>16</v>
      </c>
      <c r="D9">
        <v>11</v>
      </c>
      <c r="E9" t="s">
        <v>14</v>
      </c>
      <c r="F9">
        <v>1</v>
      </c>
      <c r="G9">
        <v>446.83</v>
      </c>
      <c r="H9">
        <v>451.68</v>
      </c>
      <c r="I9">
        <v>430.17</v>
      </c>
      <c r="J9">
        <v>433.72</v>
      </c>
      <c r="K9">
        <v>-13.11</v>
      </c>
      <c r="L9" t="s">
        <v>15</v>
      </c>
      <c r="M9">
        <v>-3.4</v>
      </c>
      <c r="N9">
        <v>-2.93E-2</v>
      </c>
    </row>
    <row r="10" spans="1:14" x14ac:dyDescent="0.35">
      <c r="A10" s="1">
        <v>45954</v>
      </c>
      <c r="B10" s="4">
        <v>45954</v>
      </c>
      <c r="C10" t="s">
        <v>23</v>
      </c>
      <c r="D10">
        <v>12</v>
      </c>
      <c r="E10" t="s">
        <v>14</v>
      </c>
      <c r="F10">
        <v>1</v>
      </c>
      <c r="G10">
        <v>156.4</v>
      </c>
      <c r="H10">
        <v>157.4</v>
      </c>
      <c r="I10">
        <v>151.53</v>
      </c>
      <c r="J10">
        <v>152.49</v>
      </c>
      <c r="K10">
        <v>-3.91</v>
      </c>
      <c r="L10" t="s">
        <v>15</v>
      </c>
      <c r="M10">
        <v>0.88</v>
      </c>
      <c r="N10">
        <v>-2.5000000000000001E-2</v>
      </c>
    </row>
    <row r="11" spans="1:14" x14ac:dyDescent="0.35">
      <c r="A11" s="1">
        <v>45954</v>
      </c>
      <c r="B11" s="4">
        <v>45954</v>
      </c>
      <c r="C11" t="s">
        <v>20</v>
      </c>
      <c r="D11">
        <v>13</v>
      </c>
      <c r="G11">
        <v>243.36</v>
      </c>
      <c r="H11">
        <v>253.39</v>
      </c>
      <c r="I11">
        <v>241.95</v>
      </c>
      <c r="J11">
        <v>252.92</v>
      </c>
      <c r="K11">
        <v>9.56</v>
      </c>
      <c r="L11" t="s">
        <v>15</v>
      </c>
      <c r="M11">
        <v>7.63</v>
      </c>
      <c r="N11">
        <v>3.9300000000000002E-2</v>
      </c>
    </row>
    <row r="12" spans="1:14" x14ac:dyDescent="0.35">
      <c r="A12" s="1">
        <v>45954</v>
      </c>
      <c r="B12" s="4">
        <v>45954</v>
      </c>
      <c r="C12" t="s">
        <v>13</v>
      </c>
      <c r="D12">
        <v>14</v>
      </c>
      <c r="G12">
        <v>521.80999999999995</v>
      </c>
      <c r="H12">
        <v>524.37</v>
      </c>
      <c r="I12">
        <v>519.74</v>
      </c>
      <c r="J12">
        <v>522.63</v>
      </c>
      <c r="K12">
        <v>0.82</v>
      </c>
      <c r="L12" t="s">
        <v>15</v>
      </c>
      <c r="M12">
        <v>0.59</v>
      </c>
      <c r="N12">
        <v>1.6000000000000001E-3</v>
      </c>
    </row>
    <row r="13" spans="1:14" x14ac:dyDescent="0.35">
      <c r="A13" s="1">
        <v>45954</v>
      </c>
      <c r="B13" s="4">
        <v>45954</v>
      </c>
      <c r="C13" t="s">
        <v>22</v>
      </c>
      <c r="D13">
        <v>15</v>
      </c>
      <c r="G13">
        <v>67.459999999999994</v>
      </c>
      <c r="H13">
        <v>69.7</v>
      </c>
      <c r="I13">
        <v>67.290000000000006</v>
      </c>
      <c r="J13">
        <v>69.66</v>
      </c>
      <c r="K13">
        <v>2.2000000000000002</v>
      </c>
      <c r="L13" t="s">
        <v>15</v>
      </c>
      <c r="M13">
        <v>4.2</v>
      </c>
      <c r="N13">
        <v>3.2599999999999997E-2</v>
      </c>
    </row>
    <row r="14" spans="1:14" x14ac:dyDescent="0.35">
      <c r="A14" s="1">
        <v>45954</v>
      </c>
      <c r="B14" s="4">
        <v>45954</v>
      </c>
      <c r="C14" t="s">
        <v>16</v>
      </c>
      <c r="D14">
        <v>16</v>
      </c>
      <c r="G14">
        <v>446.83</v>
      </c>
      <c r="H14">
        <v>451.68</v>
      </c>
      <c r="I14">
        <v>430.17</v>
      </c>
      <c r="J14">
        <v>433.72</v>
      </c>
      <c r="K14">
        <v>-13.11</v>
      </c>
      <c r="L14" t="s">
        <v>15</v>
      </c>
      <c r="M14">
        <v>-3.4</v>
      </c>
      <c r="N14">
        <v>-2.93E-2</v>
      </c>
    </row>
    <row r="15" spans="1:14" x14ac:dyDescent="0.35">
      <c r="A15" s="1">
        <v>45954</v>
      </c>
      <c r="B15" s="4">
        <v>45954</v>
      </c>
      <c r="C15" t="s">
        <v>23</v>
      </c>
      <c r="D15">
        <v>17</v>
      </c>
      <c r="G15">
        <v>156.4</v>
      </c>
      <c r="H15">
        <v>157.4</v>
      </c>
      <c r="I15">
        <v>151.53</v>
      </c>
      <c r="J15">
        <v>152.49</v>
      </c>
      <c r="K15">
        <v>-3.91</v>
      </c>
      <c r="L15" t="s">
        <v>15</v>
      </c>
      <c r="M15">
        <v>0.88</v>
      </c>
      <c r="N15">
        <v>-2.5000000000000001E-2</v>
      </c>
    </row>
    <row r="16" spans="1:14" x14ac:dyDescent="0.35">
      <c r="A16" s="1">
        <v>45954</v>
      </c>
      <c r="B16" s="4">
        <v>45954</v>
      </c>
      <c r="C16" t="s">
        <v>20</v>
      </c>
      <c r="D16">
        <v>18</v>
      </c>
      <c r="G16">
        <v>243.36</v>
      </c>
      <c r="H16">
        <v>253.39</v>
      </c>
      <c r="I16">
        <v>241.95</v>
      </c>
      <c r="J16">
        <v>252.92</v>
      </c>
      <c r="K16">
        <v>9.56</v>
      </c>
      <c r="L16" t="s">
        <v>15</v>
      </c>
      <c r="M16">
        <v>7.63</v>
      </c>
      <c r="N16">
        <v>3.9300000000000002E-2</v>
      </c>
    </row>
    <row r="17" spans="1:14" x14ac:dyDescent="0.35">
      <c r="A17" s="1">
        <v>45954</v>
      </c>
      <c r="B17" s="4">
        <v>45954</v>
      </c>
      <c r="C17" t="s">
        <v>13</v>
      </c>
      <c r="D17">
        <v>19</v>
      </c>
      <c r="G17">
        <v>521.80999999999995</v>
      </c>
      <c r="H17">
        <v>524.37</v>
      </c>
      <c r="I17">
        <v>519.74</v>
      </c>
      <c r="J17">
        <v>522.63</v>
      </c>
      <c r="K17">
        <v>0.82</v>
      </c>
      <c r="L17" t="s">
        <v>15</v>
      </c>
      <c r="M17">
        <v>0.59</v>
      </c>
      <c r="N17">
        <v>1.6000000000000001E-3</v>
      </c>
    </row>
    <row r="18" spans="1:14" x14ac:dyDescent="0.35">
      <c r="A18" s="1">
        <v>45954</v>
      </c>
      <c r="B18" s="4">
        <v>45954</v>
      </c>
      <c r="C18" t="s">
        <v>19</v>
      </c>
      <c r="D18">
        <v>20</v>
      </c>
      <c r="E18" t="s">
        <v>14</v>
      </c>
      <c r="F18">
        <v>1</v>
      </c>
      <c r="G18">
        <v>13</v>
      </c>
      <c r="H18">
        <v>13.89</v>
      </c>
      <c r="I18">
        <v>12.9</v>
      </c>
      <c r="J18">
        <v>13.78</v>
      </c>
      <c r="K18">
        <v>0.78</v>
      </c>
      <c r="L18" t="s">
        <v>15</v>
      </c>
      <c r="M18">
        <v>7.91</v>
      </c>
      <c r="N18">
        <v>0.06</v>
      </c>
    </row>
    <row r="19" spans="1:14" x14ac:dyDescent="0.35">
      <c r="A19" s="1">
        <v>45954</v>
      </c>
      <c r="B19" s="4">
        <v>45954</v>
      </c>
      <c r="C19" t="s">
        <v>18</v>
      </c>
      <c r="D19">
        <v>21</v>
      </c>
      <c r="E19" t="s">
        <v>14</v>
      </c>
      <c r="F19">
        <v>1</v>
      </c>
      <c r="G19">
        <v>206.99</v>
      </c>
      <c r="H19">
        <v>206.99</v>
      </c>
      <c r="I19">
        <v>201.2</v>
      </c>
      <c r="J19">
        <v>202.5</v>
      </c>
      <c r="K19">
        <v>-4.49</v>
      </c>
      <c r="L19" t="s">
        <v>15</v>
      </c>
      <c r="M19">
        <v>-2.0499999999999998</v>
      </c>
      <c r="N19">
        <v>-2.1700000000000001E-2</v>
      </c>
    </row>
    <row r="20" spans="1:14" x14ac:dyDescent="0.35">
      <c r="A20" s="1">
        <v>45954</v>
      </c>
      <c r="B20" s="4">
        <v>45954</v>
      </c>
      <c r="C20" t="s">
        <v>22</v>
      </c>
      <c r="D20">
        <v>22</v>
      </c>
      <c r="G20">
        <v>67.459999999999994</v>
      </c>
      <c r="H20">
        <v>69.7</v>
      </c>
      <c r="I20">
        <v>67.290000000000006</v>
      </c>
      <c r="J20">
        <v>69.66</v>
      </c>
      <c r="K20">
        <v>2.2000000000000002</v>
      </c>
      <c r="L20" t="s">
        <v>15</v>
      </c>
      <c r="M20">
        <v>4.2</v>
      </c>
      <c r="N20">
        <v>3.2599999999999997E-2</v>
      </c>
    </row>
    <row r="21" spans="1:14" x14ac:dyDescent="0.35">
      <c r="A21" s="1">
        <v>45955</v>
      </c>
      <c r="B21" s="4">
        <v>45955</v>
      </c>
      <c r="C21" t="s">
        <v>20</v>
      </c>
      <c r="D21">
        <v>23</v>
      </c>
      <c r="E21" t="s">
        <v>14</v>
      </c>
      <c r="F21">
        <v>1</v>
      </c>
      <c r="G21">
        <v>243.36</v>
      </c>
      <c r="H21">
        <v>253.39</v>
      </c>
      <c r="I21">
        <v>241.95</v>
      </c>
      <c r="J21">
        <v>252.92</v>
      </c>
      <c r="K21">
        <v>9.56</v>
      </c>
      <c r="L21" t="s">
        <v>15</v>
      </c>
      <c r="M21">
        <v>7.63</v>
      </c>
      <c r="N21">
        <v>3.9300000000000002E-2</v>
      </c>
    </row>
    <row r="22" spans="1:14" x14ac:dyDescent="0.35">
      <c r="A22" s="1">
        <v>45955</v>
      </c>
      <c r="B22" s="4">
        <v>45955</v>
      </c>
      <c r="C22" t="s">
        <v>13</v>
      </c>
      <c r="D22">
        <v>24</v>
      </c>
      <c r="E22" t="s">
        <v>14</v>
      </c>
      <c r="F22">
        <v>1</v>
      </c>
      <c r="G22">
        <v>521.80999999999995</v>
      </c>
      <c r="H22">
        <v>524.37</v>
      </c>
      <c r="I22">
        <v>519.74</v>
      </c>
      <c r="J22">
        <v>522.63</v>
      </c>
      <c r="K22">
        <v>0.82</v>
      </c>
      <c r="L22" t="s">
        <v>15</v>
      </c>
      <c r="M22">
        <v>0.59</v>
      </c>
      <c r="N22">
        <v>1.6000000000000001E-3</v>
      </c>
    </row>
    <row r="23" spans="1:14" x14ac:dyDescent="0.35">
      <c r="A23" s="1">
        <v>45955</v>
      </c>
      <c r="B23" s="4">
        <v>45955</v>
      </c>
      <c r="C23" t="s">
        <v>19</v>
      </c>
      <c r="D23">
        <v>25</v>
      </c>
      <c r="E23" t="s">
        <v>14</v>
      </c>
      <c r="F23">
        <v>1</v>
      </c>
      <c r="G23">
        <v>13</v>
      </c>
      <c r="H23">
        <v>13.89</v>
      </c>
      <c r="I23">
        <v>12.9</v>
      </c>
      <c r="J23">
        <v>13.78</v>
      </c>
      <c r="K23">
        <v>0.78</v>
      </c>
      <c r="L23" t="s">
        <v>15</v>
      </c>
      <c r="M23">
        <v>7.91</v>
      </c>
      <c r="N23">
        <v>0.06</v>
      </c>
    </row>
    <row r="24" spans="1:14" x14ac:dyDescent="0.35">
      <c r="A24" s="1">
        <v>45955</v>
      </c>
      <c r="B24" s="4">
        <v>45955</v>
      </c>
      <c r="C24" t="s">
        <v>18</v>
      </c>
      <c r="D24">
        <v>26</v>
      </c>
      <c r="E24" t="s">
        <v>14</v>
      </c>
      <c r="F24">
        <v>1</v>
      </c>
      <c r="G24">
        <v>206.99</v>
      </c>
      <c r="H24">
        <v>206.99</v>
      </c>
      <c r="I24">
        <v>201.2</v>
      </c>
      <c r="J24">
        <v>202.5</v>
      </c>
      <c r="K24">
        <v>-4.49</v>
      </c>
      <c r="L24" t="s">
        <v>15</v>
      </c>
      <c r="M24">
        <v>-2.0499999999999998</v>
      </c>
      <c r="N24">
        <v>-2.1700000000000001E-2</v>
      </c>
    </row>
    <row r="25" spans="1:14" x14ac:dyDescent="0.35">
      <c r="A25" s="1">
        <v>45955</v>
      </c>
      <c r="B25" s="4">
        <v>45955</v>
      </c>
      <c r="C25" t="s">
        <v>24</v>
      </c>
      <c r="D25">
        <v>27</v>
      </c>
      <c r="E25" t="s">
        <v>17</v>
      </c>
      <c r="F25">
        <v>1</v>
      </c>
      <c r="G25">
        <v>24.27</v>
      </c>
      <c r="H25">
        <v>24.4</v>
      </c>
      <c r="I25">
        <v>24.25</v>
      </c>
      <c r="J25">
        <v>24.33</v>
      </c>
      <c r="K25">
        <v>0.06</v>
      </c>
      <c r="L25" t="s">
        <v>15</v>
      </c>
      <c r="M25">
        <v>0.36</v>
      </c>
      <c r="N25">
        <v>2.5000000000000001E-3</v>
      </c>
    </row>
    <row r="26" spans="1:14" x14ac:dyDescent="0.35">
      <c r="A26" s="1">
        <v>45956</v>
      </c>
      <c r="B26" s="4">
        <v>45956</v>
      </c>
      <c r="C26" t="s">
        <v>20</v>
      </c>
      <c r="D26">
        <v>28</v>
      </c>
      <c r="E26" t="s">
        <v>14</v>
      </c>
      <c r="F26">
        <v>1</v>
      </c>
      <c r="G26">
        <v>243.36</v>
      </c>
      <c r="H26">
        <v>253.39</v>
      </c>
      <c r="I26">
        <v>241.95</v>
      </c>
      <c r="J26">
        <v>252.92</v>
      </c>
      <c r="K26">
        <v>9.56</v>
      </c>
      <c r="L26" t="s">
        <v>15</v>
      </c>
      <c r="M26">
        <v>7.63</v>
      </c>
      <c r="N26">
        <v>3.9300000000000002E-2</v>
      </c>
    </row>
    <row r="27" spans="1:14" x14ac:dyDescent="0.35">
      <c r="A27" s="1">
        <v>45956</v>
      </c>
      <c r="B27" s="4">
        <v>45956</v>
      </c>
      <c r="C27" t="s">
        <v>13</v>
      </c>
      <c r="D27">
        <v>29</v>
      </c>
      <c r="E27" t="s">
        <v>14</v>
      </c>
      <c r="F27">
        <v>1</v>
      </c>
      <c r="G27">
        <v>521.80999999999995</v>
      </c>
      <c r="H27">
        <v>524.37</v>
      </c>
      <c r="I27">
        <v>519.74</v>
      </c>
      <c r="J27">
        <v>522.63</v>
      </c>
      <c r="K27">
        <v>0.82</v>
      </c>
      <c r="L27" t="s">
        <v>15</v>
      </c>
      <c r="M27">
        <v>0.59</v>
      </c>
      <c r="N27">
        <v>1.6000000000000001E-3</v>
      </c>
    </row>
    <row r="28" spans="1:14" x14ac:dyDescent="0.35">
      <c r="A28" s="1">
        <v>45956</v>
      </c>
      <c r="B28" s="4">
        <v>45956</v>
      </c>
      <c r="C28" t="s">
        <v>19</v>
      </c>
      <c r="D28">
        <v>30</v>
      </c>
      <c r="E28" t="s">
        <v>14</v>
      </c>
      <c r="F28">
        <v>1</v>
      </c>
      <c r="G28">
        <v>13</v>
      </c>
      <c r="H28">
        <v>13.89</v>
      </c>
      <c r="I28">
        <v>12.9</v>
      </c>
      <c r="J28">
        <v>13.78</v>
      </c>
      <c r="K28">
        <v>0.78</v>
      </c>
      <c r="L28" t="s">
        <v>15</v>
      </c>
      <c r="M28">
        <v>7.91</v>
      </c>
      <c r="N28">
        <v>0.06</v>
      </c>
    </row>
    <row r="29" spans="1:14" x14ac:dyDescent="0.35">
      <c r="A29" s="1">
        <v>45956</v>
      </c>
      <c r="B29" s="4">
        <v>45956</v>
      </c>
      <c r="C29" t="s">
        <v>18</v>
      </c>
      <c r="D29">
        <v>31</v>
      </c>
      <c r="E29" t="s">
        <v>14</v>
      </c>
      <c r="F29">
        <v>1</v>
      </c>
      <c r="G29">
        <v>206.99</v>
      </c>
      <c r="H29">
        <v>206.99</v>
      </c>
      <c r="I29">
        <v>201.2</v>
      </c>
      <c r="J29">
        <v>202.5</v>
      </c>
      <c r="K29">
        <v>-4.49</v>
      </c>
      <c r="L29" t="s">
        <v>15</v>
      </c>
      <c r="M29">
        <v>-2.0499999999999998</v>
      </c>
      <c r="N29">
        <v>-2.1700000000000001E-2</v>
      </c>
    </row>
    <row r="30" spans="1:14" x14ac:dyDescent="0.35">
      <c r="A30" s="1">
        <v>45956</v>
      </c>
      <c r="B30" s="4">
        <v>45956</v>
      </c>
      <c r="C30" t="s">
        <v>24</v>
      </c>
      <c r="D30">
        <v>32</v>
      </c>
      <c r="E30" t="s">
        <v>17</v>
      </c>
      <c r="F30">
        <v>1</v>
      </c>
      <c r="G30">
        <v>24.27</v>
      </c>
      <c r="H30">
        <v>24.4</v>
      </c>
      <c r="I30">
        <v>24.25</v>
      </c>
      <c r="J30">
        <v>24.33</v>
      </c>
      <c r="K30">
        <v>0.06</v>
      </c>
      <c r="L30" t="s">
        <v>15</v>
      </c>
      <c r="M30">
        <v>0.36</v>
      </c>
      <c r="N30">
        <v>2.5000000000000001E-3</v>
      </c>
    </row>
    <row r="31" spans="1:14" x14ac:dyDescent="0.35">
      <c r="A31" s="1">
        <v>45956</v>
      </c>
      <c r="B31" s="4">
        <v>45956</v>
      </c>
      <c r="C31" t="s">
        <v>20</v>
      </c>
      <c r="D31">
        <v>33</v>
      </c>
      <c r="E31" t="s">
        <v>14</v>
      </c>
      <c r="F31">
        <v>1</v>
      </c>
      <c r="G31">
        <v>243.36</v>
      </c>
      <c r="H31">
        <v>253.39</v>
      </c>
      <c r="I31">
        <v>241.95</v>
      </c>
      <c r="J31">
        <v>252.92</v>
      </c>
      <c r="K31">
        <v>9.56</v>
      </c>
      <c r="L31" t="s">
        <v>15</v>
      </c>
      <c r="M31">
        <v>7.63</v>
      </c>
      <c r="N31">
        <v>3.9300000000000002E-2</v>
      </c>
    </row>
    <row r="32" spans="1:14" x14ac:dyDescent="0.35">
      <c r="A32" s="1">
        <v>45956</v>
      </c>
      <c r="B32" s="4">
        <v>45956</v>
      </c>
      <c r="C32" t="s">
        <v>13</v>
      </c>
      <c r="D32">
        <v>34</v>
      </c>
      <c r="E32" t="s">
        <v>14</v>
      </c>
      <c r="F32">
        <v>1</v>
      </c>
      <c r="G32">
        <v>521.80999999999995</v>
      </c>
      <c r="H32">
        <v>524.37</v>
      </c>
      <c r="I32">
        <v>519.74</v>
      </c>
      <c r="J32">
        <v>522.63</v>
      </c>
      <c r="K32">
        <v>0.82</v>
      </c>
      <c r="L32" t="s">
        <v>15</v>
      </c>
      <c r="M32">
        <v>0.59</v>
      </c>
      <c r="N32">
        <v>1.6000000000000001E-3</v>
      </c>
    </row>
    <row r="33" spans="1:14" x14ac:dyDescent="0.35">
      <c r="A33" s="1">
        <v>45956</v>
      </c>
      <c r="B33" s="4">
        <v>45956</v>
      </c>
      <c r="C33" t="s">
        <v>19</v>
      </c>
      <c r="D33">
        <v>35</v>
      </c>
      <c r="E33" t="s">
        <v>14</v>
      </c>
      <c r="F33">
        <v>1</v>
      </c>
      <c r="G33">
        <v>13</v>
      </c>
      <c r="H33">
        <v>13.89</v>
      </c>
      <c r="I33">
        <v>12.9</v>
      </c>
      <c r="J33">
        <v>13.78</v>
      </c>
      <c r="K33">
        <v>0.78</v>
      </c>
      <c r="L33" t="s">
        <v>15</v>
      </c>
      <c r="M33">
        <v>7.91</v>
      </c>
      <c r="N33">
        <v>0.06</v>
      </c>
    </row>
    <row r="34" spans="1:14" x14ac:dyDescent="0.35">
      <c r="A34" s="1">
        <v>45956</v>
      </c>
      <c r="B34" s="4">
        <v>45956</v>
      </c>
      <c r="C34" t="s">
        <v>18</v>
      </c>
      <c r="D34">
        <v>36</v>
      </c>
      <c r="E34" t="s">
        <v>14</v>
      </c>
      <c r="F34">
        <v>1</v>
      </c>
      <c r="G34">
        <v>206.99</v>
      </c>
      <c r="H34">
        <v>206.99</v>
      </c>
      <c r="I34">
        <v>201.2</v>
      </c>
      <c r="J34">
        <v>202.5</v>
      </c>
      <c r="K34">
        <v>-4.49</v>
      </c>
      <c r="L34" t="s">
        <v>15</v>
      </c>
      <c r="M34">
        <v>-2.0499999999999998</v>
      </c>
      <c r="N34">
        <v>-2.1700000000000001E-2</v>
      </c>
    </row>
    <row r="35" spans="1:14" x14ac:dyDescent="0.35">
      <c r="A35" s="1">
        <v>45956</v>
      </c>
      <c r="B35" s="4">
        <v>45956</v>
      </c>
      <c r="C35" t="s">
        <v>24</v>
      </c>
      <c r="D35">
        <v>37</v>
      </c>
      <c r="E35" t="s">
        <v>17</v>
      </c>
      <c r="F35">
        <v>1</v>
      </c>
      <c r="G35">
        <v>24.27</v>
      </c>
      <c r="H35">
        <v>24.4</v>
      </c>
      <c r="I35">
        <v>24.25</v>
      </c>
      <c r="J35">
        <v>24.33</v>
      </c>
      <c r="K35">
        <v>0.06</v>
      </c>
      <c r="L35" t="s">
        <v>15</v>
      </c>
      <c r="M35">
        <v>0.36</v>
      </c>
      <c r="N35">
        <v>2.5000000000000001E-3</v>
      </c>
    </row>
    <row r="36" spans="1:14" x14ac:dyDescent="0.35">
      <c r="A36" s="1">
        <v>45956</v>
      </c>
      <c r="B36" s="4">
        <v>45956</v>
      </c>
      <c r="C36" t="s">
        <v>20</v>
      </c>
      <c r="D36">
        <v>38</v>
      </c>
      <c r="E36" t="s">
        <v>14</v>
      </c>
      <c r="F36">
        <v>1</v>
      </c>
      <c r="G36">
        <v>243.36</v>
      </c>
      <c r="H36">
        <v>253.39</v>
      </c>
      <c r="I36">
        <v>241.95</v>
      </c>
      <c r="J36">
        <v>252.92</v>
      </c>
      <c r="K36">
        <v>9.56</v>
      </c>
      <c r="L36" t="s">
        <v>15</v>
      </c>
      <c r="M36">
        <v>7.63</v>
      </c>
      <c r="N36">
        <v>3.9300000000000002E-2</v>
      </c>
    </row>
    <row r="37" spans="1:14" x14ac:dyDescent="0.35">
      <c r="A37" s="1">
        <v>45956</v>
      </c>
      <c r="B37" s="4">
        <v>45956</v>
      </c>
      <c r="C37" t="s">
        <v>13</v>
      </c>
      <c r="D37">
        <v>39</v>
      </c>
      <c r="E37" t="s">
        <v>14</v>
      </c>
      <c r="F37">
        <v>1</v>
      </c>
      <c r="G37">
        <v>521.80999999999995</v>
      </c>
      <c r="H37">
        <v>524.37</v>
      </c>
      <c r="I37">
        <v>519.74</v>
      </c>
      <c r="J37">
        <v>522.63</v>
      </c>
      <c r="K37">
        <v>0.82</v>
      </c>
      <c r="L37" t="s">
        <v>15</v>
      </c>
      <c r="M37">
        <v>0.59</v>
      </c>
      <c r="N37">
        <v>1.6000000000000001E-3</v>
      </c>
    </row>
    <row r="38" spans="1:14" x14ac:dyDescent="0.35">
      <c r="A38" s="1">
        <v>45956</v>
      </c>
      <c r="B38" s="4">
        <v>45956</v>
      </c>
      <c r="C38" t="s">
        <v>19</v>
      </c>
      <c r="D38">
        <v>40</v>
      </c>
      <c r="E38" t="s">
        <v>14</v>
      </c>
      <c r="F38">
        <v>1</v>
      </c>
      <c r="G38">
        <v>13</v>
      </c>
      <c r="H38">
        <v>13.89</v>
      </c>
      <c r="I38">
        <v>12.9</v>
      </c>
      <c r="J38">
        <v>13.78</v>
      </c>
      <c r="K38">
        <v>0.78</v>
      </c>
      <c r="L38" t="s">
        <v>15</v>
      </c>
      <c r="M38">
        <v>7.91</v>
      </c>
      <c r="N38">
        <v>0.06</v>
      </c>
    </row>
    <row r="39" spans="1:14" x14ac:dyDescent="0.35">
      <c r="A39" s="1">
        <v>45956</v>
      </c>
      <c r="B39" s="4">
        <v>45956</v>
      </c>
      <c r="C39" t="s">
        <v>18</v>
      </c>
      <c r="D39">
        <v>41</v>
      </c>
      <c r="E39" t="s">
        <v>14</v>
      </c>
      <c r="F39">
        <v>1</v>
      </c>
      <c r="G39">
        <v>206.99</v>
      </c>
      <c r="H39">
        <v>206.99</v>
      </c>
      <c r="I39">
        <v>201.2</v>
      </c>
      <c r="J39">
        <v>202.5</v>
      </c>
      <c r="K39">
        <v>-4.49</v>
      </c>
      <c r="L39" t="s">
        <v>15</v>
      </c>
      <c r="M39">
        <v>-2.0499999999999998</v>
      </c>
      <c r="N39">
        <v>-2.1700000000000001E-2</v>
      </c>
    </row>
    <row r="40" spans="1:14" x14ac:dyDescent="0.35">
      <c r="A40" s="1">
        <v>45956</v>
      </c>
      <c r="B40" s="4">
        <v>45956</v>
      </c>
      <c r="C40" t="s">
        <v>24</v>
      </c>
      <c r="D40">
        <v>42</v>
      </c>
      <c r="E40" t="s">
        <v>17</v>
      </c>
      <c r="F40">
        <v>1</v>
      </c>
      <c r="G40">
        <v>24.27</v>
      </c>
      <c r="H40">
        <v>24.4</v>
      </c>
      <c r="I40">
        <v>24.25</v>
      </c>
      <c r="J40">
        <v>24.33</v>
      </c>
      <c r="K40">
        <v>0.06</v>
      </c>
      <c r="L40" t="s">
        <v>15</v>
      </c>
      <c r="M40">
        <v>0.36</v>
      </c>
      <c r="N40">
        <v>2.5000000000000001E-3</v>
      </c>
    </row>
    <row r="41" spans="1:14" x14ac:dyDescent="0.35">
      <c r="A41" s="1">
        <v>45956</v>
      </c>
      <c r="B41" s="4">
        <v>45956</v>
      </c>
      <c r="C41" t="s">
        <v>20</v>
      </c>
      <c r="D41">
        <v>43</v>
      </c>
      <c r="E41" t="s">
        <v>14</v>
      </c>
      <c r="F41">
        <v>1</v>
      </c>
      <c r="G41">
        <v>243.36</v>
      </c>
      <c r="H41">
        <v>253.39</v>
      </c>
      <c r="I41">
        <v>241.95</v>
      </c>
      <c r="J41">
        <v>252.92</v>
      </c>
      <c r="K41">
        <v>9.56</v>
      </c>
      <c r="L41" t="s">
        <v>15</v>
      </c>
      <c r="M41">
        <v>7.63</v>
      </c>
      <c r="N41">
        <v>3.9300000000000002E-2</v>
      </c>
    </row>
    <row r="42" spans="1:14" x14ac:dyDescent="0.35">
      <c r="A42" s="1">
        <v>45956</v>
      </c>
      <c r="B42" s="4">
        <v>45956</v>
      </c>
      <c r="C42" t="s">
        <v>13</v>
      </c>
      <c r="D42">
        <v>44</v>
      </c>
      <c r="E42" t="s">
        <v>14</v>
      </c>
      <c r="F42">
        <v>1</v>
      </c>
      <c r="G42">
        <v>521.80999999999995</v>
      </c>
      <c r="H42">
        <v>524.37</v>
      </c>
      <c r="I42">
        <v>519.74</v>
      </c>
      <c r="J42">
        <v>522.63</v>
      </c>
      <c r="K42">
        <v>0.82</v>
      </c>
      <c r="L42" t="s">
        <v>15</v>
      </c>
      <c r="M42">
        <v>0.59</v>
      </c>
      <c r="N42">
        <v>1.6000000000000001E-3</v>
      </c>
    </row>
    <row r="43" spans="1:14" x14ac:dyDescent="0.35">
      <c r="A43" s="1">
        <v>45956</v>
      </c>
      <c r="B43" s="4">
        <v>45956</v>
      </c>
      <c r="C43" t="s">
        <v>19</v>
      </c>
      <c r="D43">
        <v>45</v>
      </c>
      <c r="E43" t="s">
        <v>14</v>
      </c>
      <c r="F43">
        <v>1</v>
      </c>
      <c r="G43">
        <v>13</v>
      </c>
      <c r="H43">
        <v>13.89</v>
      </c>
      <c r="I43">
        <v>12.9</v>
      </c>
      <c r="J43">
        <v>13.78</v>
      </c>
      <c r="K43">
        <v>0.78</v>
      </c>
      <c r="L43" t="s">
        <v>15</v>
      </c>
      <c r="M43">
        <v>7.91</v>
      </c>
      <c r="N43">
        <v>0.06</v>
      </c>
    </row>
    <row r="44" spans="1:14" x14ac:dyDescent="0.35">
      <c r="A44" s="1">
        <v>45956</v>
      </c>
      <c r="B44" s="4">
        <v>45956</v>
      </c>
      <c r="C44" t="s">
        <v>18</v>
      </c>
      <c r="D44">
        <v>46</v>
      </c>
      <c r="E44" t="s">
        <v>14</v>
      </c>
      <c r="F44">
        <v>1</v>
      </c>
      <c r="G44">
        <v>206.99</v>
      </c>
      <c r="H44">
        <v>206.99</v>
      </c>
      <c r="I44">
        <v>201.2</v>
      </c>
      <c r="J44">
        <v>202.5</v>
      </c>
      <c r="K44">
        <v>-4.49</v>
      </c>
      <c r="L44" t="s">
        <v>15</v>
      </c>
      <c r="M44">
        <v>-2.0499999999999998</v>
      </c>
      <c r="N44">
        <v>-2.1700000000000001E-2</v>
      </c>
    </row>
    <row r="45" spans="1:14" x14ac:dyDescent="0.35">
      <c r="A45" s="1">
        <v>45956</v>
      </c>
      <c r="B45" s="4">
        <v>45956</v>
      </c>
      <c r="C45" t="s">
        <v>24</v>
      </c>
      <c r="D45">
        <v>47</v>
      </c>
      <c r="E45" t="s">
        <v>17</v>
      </c>
      <c r="F45">
        <v>1</v>
      </c>
      <c r="G45">
        <v>24.27</v>
      </c>
      <c r="H45">
        <v>24.4</v>
      </c>
      <c r="I45">
        <v>24.25</v>
      </c>
      <c r="J45">
        <v>24.33</v>
      </c>
      <c r="K45">
        <v>0.06</v>
      </c>
      <c r="L45" t="s">
        <v>15</v>
      </c>
      <c r="M45">
        <v>0.36</v>
      </c>
      <c r="N45">
        <v>2.5000000000000001E-3</v>
      </c>
    </row>
    <row r="46" spans="1:14" x14ac:dyDescent="0.35">
      <c r="A46" s="1">
        <v>45956</v>
      </c>
      <c r="B46" s="4">
        <v>45956</v>
      </c>
      <c r="C46" t="s">
        <v>20</v>
      </c>
      <c r="D46">
        <v>48</v>
      </c>
      <c r="E46" t="s">
        <v>14</v>
      </c>
      <c r="F46">
        <v>1</v>
      </c>
      <c r="G46">
        <v>243.36</v>
      </c>
      <c r="H46">
        <v>253.39</v>
      </c>
      <c r="I46">
        <v>241.95</v>
      </c>
      <c r="J46">
        <v>252.92</v>
      </c>
      <c r="K46">
        <v>9.56</v>
      </c>
      <c r="L46" t="s">
        <v>15</v>
      </c>
      <c r="M46">
        <v>7.63</v>
      </c>
      <c r="N46">
        <v>3.9300000000000002E-2</v>
      </c>
    </row>
    <row r="47" spans="1:14" x14ac:dyDescent="0.35">
      <c r="A47" s="1">
        <v>45956</v>
      </c>
      <c r="B47" s="4">
        <v>45956</v>
      </c>
      <c r="C47" t="s">
        <v>13</v>
      </c>
      <c r="D47">
        <v>49</v>
      </c>
      <c r="E47" t="s">
        <v>14</v>
      </c>
      <c r="F47">
        <v>1</v>
      </c>
      <c r="G47">
        <v>521.80999999999995</v>
      </c>
      <c r="H47">
        <v>524.37</v>
      </c>
      <c r="I47">
        <v>519.74</v>
      </c>
      <c r="J47">
        <v>522.63</v>
      </c>
      <c r="K47">
        <v>0.82</v>
      </c>
      <c r="L47" t="s">
        <v>15</v>
      </c>
      <c r="M47">
        <v>0.59</v>
      </c>
      <c r="N47">
        <v>1.6000000000000001E-3</v>
      </c>
    </row>
    <row r="48" spans="1:14" x14ac:dyDescent="0.35">
      <c r="A48" s="1">
        <v>45956</v>
      </c>
      <c r="B48" s="4">
        <v>45956</v>
      </c>
      <c r="C48" t="s">
        <v>19</v>
      </c>
      <c r="D48">
        <v>50</v>
      </c>
      <c r="E48" t="s">
        <v>14</v>
      </c>
      <c r="F48">
        <v>1</v>
      </c>
      <c r="G48">
        <v>13</v>
      </c>
      <c r="H48">
        <v>13.89</v>
      </c>
      <c r="I48">
        <v>12.9</v>
      </c>
      <c r="J48">
        <v>13.78</v>
      </c>
      <c r="K48">
        <v>0.78</v>
      </c>
      <c r="L48" t="s">
        <v>15</v>
      </c>
      <c r="M48">
        <v>7.91</v>
      </c>
      <c r="N48">
        <v>0.06</v>
      </c>
    </row>
    <row r="49" spans="1:14" x14ac:dyDescent="0.35">
      <c r="A49" s="1">
        <v>45956</v>
      </c>
      <c r="B49" s="4">
        <v>45956</v>
      </c>
      <c r="C49" t="s">
        <v>18</v>
      </c>
      <c r="D49">
        <v>51</v>
      </c>
      <c r="E49" t="s">
        <v>14</v>
      </c>
      <c r="F49">
        <v>1</v>
      </c>
      <c r="G49">
        <v>206.99</v>
      </c>
      <c r="H49">
        <v>206.99</v>
      </c>
      <c r="I49">
        <v>201.2</v>
      </c>
      <c r="J49">
        <v>202.5</v>
      </c>
      <c r="K49">
        <v>-4.49</v>
      </c>
      <c r="L49" t="s">
        <v>15</v>
      </c>
      <c r="M49">
        <v>-2.0499999999999998</v>
      </c>
      <c r="N49">
        <v>-2.1700000000000001E-2</v>
      </c>
    </row>
    <row r="50" spans="1:14" x14ac:dyDescent="0.35">
      <c r="A50" s="1">
        <v>45956</v>
      </c>
      <c r="B50" s="4">
        <v>45956</v>
      </c>
      <c r="C50" t="s">
        <v>24</v>
      </c>
      <c r="D50">
        <v>52</v>
      </c>
      <c r="E50" t="s">
        <v>17</v>
      </c>
      <c r="F50">
        <v>1</v>
      </c>
      <c r="G50">
        <v>24.27</v>
      </c>
      <c r="H50">
        <v>24.4</v>
      </c>
      <c r="I50">
        <v>24.25</v>
      </c>
      <c r="J50">
        <v>24.33</v>
      </c>
      <c r="K50">
        <v>0.06</v>
      </c>
      <c r="L50" t="s">
        <v>15</v>
      </c>
      <c r="M50">
        <v>0.36</v>
      </c>
      <c r="N50">
        <v>2.5000000000000001E-3</v>
      </c>
    </row>
    <row r="51" spans="1:14" x14ac:dyDescent="0.35">
      <c r="A51" s="1">
        <v>45956</v>
      </c>
      <c r="B51" s="4">
        <v>45956</v>
      </c>
      <c r="C51" t="s">
        <v>20</v>
      </c>
      <c r="D51">
        <v>53</v>
      </c>
      <c r="E51" t="s">
        <v>14</v>
      </c>
      <c r="F51">
        <v>1</v>
      </c>
      <c r="G51">
        <v>243.36</v>
      </c>
      <c r="H51">
        <v>253.39</v>
      </c>
      <c r="I51">
        <v>241.95</v>
      </c>
      <c r="J51">
        <v>252.92</v>
      </c>
      <c r="K51">
        <v>9.56</v>
      </c>
      <c r="L51" t="s">
        <v>15</v>
      </c>
      <c r="M51">
        <v>7.63</v>
      </c>
      <c r="N51">
        <v>3.9300000000000002E-2</v>
      </c>
    </row>
    <row r="52" spans="1:14" x14ac:dyDescent="0.35">
      <c r="A52" s="1">
        <v>45956</v>
      </c>
      <c r="B52" s="4">
        <v>45956</v>
      </c>
      <c r="C52" t="s">
        <v>13</v>
      </c>
      <c r="D52">
        <v>54</v>
      </c>
      <c r="E52" t="s">
        <v>14</v>
      </c>
      <c r="F52">
        <v>1</v>
      </c>
      <c r="G52">
        <v>521.80999999999995</v>
      </c>
      <c r="H52">
        <v>524.37</v>
      </c>
      <c r="I52">
        <v>519.74</v>
      </c>
      <c r="J52">
        <v>522.63</v>
      </c>
      <c r="K52">
        <v>0.82</v>
      </c>
      <c r="L52" t="s">
        <v>15</v>
      </c>
      <c r="M52">
        <v>0.59</v>
      </c>
      <c r="N52">
        <v>1.6000000000000001E-3</v>
      </c>
    </row>
    <row r="53" spans="1:14" x14ac:dyDescent="0.35">
      <c r="A53" s="1">
        <v>45956</v>
      </c>
      <c r="B53" s="4">
        <v>45956</v>
      </c>
      <c r="C53" t="s">
        <v>19</v>
      </c>
      <c r="D53">
        <v>55</v>
      </c>
      <c r="E53" t="s">
        <v>14</v>
      </c>
      <c r="F53">
        <v>1</v>
      </c>
      <c r="G53">
        <v>13</v>
      </c>
      <c r="H53">
        <v>13.89</v>
      </c>
      <c r="I53">
        <v>12.9</v>
      </c>
      <c r="J53">
        <v>13.78</v>
      </c>
      <c r="K53">
        <v>0.78</v>
      </c>
      <c r="L53" t="s">
        <v>15</v>
      </c>
      <c r="M53">
        <v>7.91</v>
      </c>
      <c r="N53">
        <v>0.06</v>
      </c>
    </row>
    <row r="54" spans="1:14" x14ac:dyDescent="0.35">
      <c r="A54" s="1">
        <v>45956</v>
      </c>
      <c r="B54" s="4">
        <v>45956</v>
      </c>
      <c r="C54" t="s">
        <v>18</v>
      </c>
      <c r="D54">
        <v>56</v>
      </c>
      <c r="E54" t="s">
        <v>14</v>
      </c>
      <c r="F54">
        <v>1</v>
      </c>
      <c r="G54">
        <v>206.99</v>
      </c>
      <c r="H54">
        <v>206.99</v>
      </c>
      <c r="I54">
        <v>201.2</v>
      </c>
      <c r="J54">
        <v>202.5</v>
      </c>
      <c r="K54">
        <v>-4.49</v>
      </c>
      <c r="L54" t="s">
        <v>15</v>
      </c>
      <c r="M54">
        <v>-2.0499999999999998</v>
      </c>
      <c r="N54">
        <v>-2.1700000000000001E-2</v>
      </c>
    </row>
    <row r="55" spans="1:14" x14ac:dyDescent="0.35">
      <c r="A55" s="1">
        <v>45956</v>
      </c>
      <c r="B55" s="4">
        <v>45956</v>
      </c>
      <c r="C55" t="s">
        <v>24</v>
      </c>
      <c r="D55">
        <v>57</v>
      </c>
      <c r="E55" t="s">
        <v>17</v>
      </c>
      <c r="F55">
        <v>1</v>
      </c>
      <c r="G55">
        <v>24.27</v>
      </c>
      <c r="H55">
        <v>24.4</v>
      </c>
      <c r="I55">
        <v>24.25</v>
      </c>
      <c r="J55">
        <v>24.33</v>
      </c>
      <c r="K55">
        <v>0.06</v>
      </c>
      <c r="L55" t="s">
        <v>15</v>
      </c>
      <c r="M55">
        <v>0.36</v>
      </c>
      <c r="N55">
        <v>2.5000000000000001E-3</v>
      </c>
    </row>
    <row r="56" spans="1:14" x14ac:dyDescent="0.35">
      <c r="A56" s="1">
        <v>45956</v>
      </c>
      <c r="B56" s="4">
        <v>45956</v>
      </c>
      <c r="C56" t="s">
        <v>20</v>
      </c>
      <c r="D56">
        <v>58</v>
      </c>
      <c r="E56" t="s">
        <v>14</v>
      </c>
      <c r="F56">
        <v>1</v>
      </c>
      <c r="G56">
        <v>243.36</v>
      </c>
      <c r="H56">
        <v>253.39</v>
      </c>
      <c r="I56">
        <v>241.95</v>
      </c>
      <c r="J56">
        <v>252.92</v>
      </c>
      <c r="K56">
        <v>9.56</v>
      </c>
      <c r="L56" t="s">
        <v>15</v>
      </c>
      <c r="M56">
        <v>7.63</v>
      </c>
      <c r="N56">
        <v>3.9300000000000002E-2</v>
      </c>
    </row>
    <row r="57" spans="1:14" x14ac:dyDescent="0.35">
      <c r="A57" s="1">
        <v>45956</v>
      </c>
      <c r="B57" s="4">
        <v>45956</v>
      </c>
      <c r="C57" t="s">
        <v>13</v>
      </c>
      <c r="D57">
        <v>59</v>
      </c>
      <c r="E57" t="s">
        <v>14</v>
      </c>
      <c r="F57">
        <v>1</v>
      </c>
      <c r="G57">
        <v>521.80999999999995</v>
      </c>
      <c r="H57">
        <v>524.37</v>
      </c>
      <c r="I57">
        <v>519.74</v>
      </c>
      <c r="J57">
        <v>522.63</v>
      </c>
      <c r="K57">
        <v>0.82</v>
      </c>
      <c r="L57" t="s">
        <v>15</v>
      </c>
      <c r="M57">
        <v>0.59</v>
      </c>
      <c r="N57">
        <v>1.6000000000000001E-3</v>
      </c>
    </row>
    <row r="58" spans="1:14" x14ac:dyDescent="0.35">
      <c r="A58" s="1">
        <v>45956</v>
      </c>
      <c r="B58" s="4">
        <v>45956</v>
      </c>
      <c r="C58" t="s">
        <v>19</v>
      </c>
      <c r="D58">
        <v>60</v>
      </c>
      <c r="E58" t="s">
        <v>14</v>
      </c>
      <c r="F58">
        <v>1</v>
      </c>
      <c r="G58">
        <v>13</v>
      </c>
      <c r="H58">
        <v>13.89</v>
      </c>
      <c r="I58">
        <v>12.9</v>
      </c>
      <c r="J58">
        <v>13.78</v>
      </c>
      <c r="K58">
        <v>0.78</v>
      </c>
      <c r="L58" t="s">
        <v>15</v>
      </c>
      <c r="M58">
        <v>7.91</v>
      </c>
      <c r="N58">
        <v>0.06</v>
      </c>
    </row>
    <row r="59" spans="1:14" x14ac:dyDescent="0.35">
      <c r="A59" s="1">
        <v>45956</v>
      </c>
      <c r="B59" s="4">
        <v>45956</v>
      </c>
      <c r="C59" t="s">
        <v>18</v>
      </c>
      <c r="D59">
        <v>61</v>
      </c>
      <c r="E59" t="s">
        <v>14</v>
      </c>
      <c r="F59">
        <v>1</v>
      </c>
      <c r="G59">
        <v>206.99</v>
      </c>
      <c r="H59">
        <v>206.99</v>
      </c>
      <c r="I59">
        <v>201.2</v>
      </c>
      <c r="J59">
        <v>202.5</v>
      </c>
      <c r="K59">
        <v>-4.49</v>
      </c>
      <c r="L59" t="s">
        <v>15</v>
      </c>
      <c r="M59">
        <v>-2.0499999999999998</v>
      </c>
      <c r="N59">
        <v>-2.1700000000000001E-2</v>
      </c>
    </row>
    <row r="60" spans="1:14" x14ac:dyDescent="0.35">
      <c r="A60" s="1">
        <v>45956</v>
      </c>
      <c r="B60" s="4">
        <v>45956</v>
      </c>
      <c r="C60" t="s">
        <v>24</v>
      </c>
      <c r="D60">
        <v>62</v>
      </c>
      <c r="E60" t="s">
        <v>17</v>
      </c>
      <c r="F60">
        <v>1</v>
      </c>
      <c r="G60">
        <v>24.27</v>
      </c>
      <c r="H60">
        <v>24.4</v>
      </c>
      <c r="I60">
        <v>24.25</v>
      </c>
      <c r="J60">
        <v>24.33</v>
      </c>
      <c r="K60">
        <v>0.06</v>
      </c>
      <c r="L60" t="s">
        <v>15</v>
      </c>
      <c r="M60">
        <v>0.36</v>
      </c>
      <c r="N60">
        <v>2.5000000000000001E-3</v>
      </c>
    </row>
    <row r="61" spans="1:14" x14ac:dyDescent="0.35">
      <c r="A61" s="1">
        <v>45956</v>
      </c>
      <c r="B61" s="4">
        <v>45956</v>
      </c>
      <c r="C61" t="s">
        <v>20</v>
      </c>
      <c r="D61">
        <v>63</v>
      </c>
      <c r="E61" t="s">
        <v>14</v>
      </c>
      <c r="F61">
        <v>1</v>
      </c>
      <c r="G61">
        <v>243.36</v>
      </c>
      <c r="H61">
        <v>253.39</v>
      </c>
      <c r="I61">
        <v>241.95</v>
      </c>
      <c r="J61">
        <v>252.92</v>
      </c>
      <c r="K61">
        <v>9.56</v>
      </c>
      <c r="L61" t="s">
        <v>15</v>
      </c>
      <c r="M61">
        <v>7.63</v>
      </c>
      <c r="N61">
        <v>3.9300000000000002E-2</v>
      </c>
    </row>
    <row r="62" spans="1:14" x14ac:dyDescent="0.35">
      <c r="A62" s="1">
        <v>45956</v>
      </c>
      <c r="B62" s="4">
        <v>45956</v>
      </c>
      <c r="C62" t="s">
        <v>13</v>
      </c>
      <c r="D62">
        <v>64</v>
      </c>
      <c r="E62" t="s">
        <v>14</v>
      </c>
      <c r="F62">
        <v>1</v>
      </c>
      <c r="G62">
        <v>521.80999999999995</v>
      </c>
      <c r="H62">
        <v>524.37</v>
      </c>
      <c r="I62">
        <v>519.74</v>
      </c>
      <c r="J62">
        <v>522.63</v>
      </c>
      <c r="K62">
        <v>0.82</v>
      </c>
      <c r="L62" t="s">
        <v>15</v>
      </c>
      <c r="M62">
        <v>0.59</v>
      </c>
      <c r="N62">
        <v>1.6000000000000001E-3</v>
      </c>
    </row>
    <row r="63" spans="1:14" x14ac:dyDescent="0.35">
      <c r="A63" s="1">
        <v>45956</v>
      </c>
      <c r="B63" s="4">
        <v>45956</v>
      </c>
      <c r="C63" t="s">
        <v>19</v>
      </c>
      <c r="D63">
        <v>65</v>
      </c>
      <c r="E63" t="s">
        <v>14</v>
      </c>
      <c r="F63">
        <v>1</v>
      </c>
      <c r="G63">
        <v>13</v>
      </c>
      <c r="H63">
        <v>13.89</v>
      </c>
      <c r="I63">
        <v>12.9</v>
      </c>
      <c r="J63">
        <v>13.78</v>
      </c>
      <c r="K63">
        <v>0.78</v>
      </c>
      <c r="L63" t="s">
        <v>15</v>
      </c>
      <c r="M63">
        <v>7.91</v>
      </c>
      <c r="N63">
        <v>0.06</v>
      </c>
    </row>
    <row r="64" spans="1:14" x14ac:dyDescent="0.35">
      <c r="A64" s="1">
        <v>45956</v>
      </c>
      <c r="B64" s="4">
        <v>45956</v>
      </c>
      <c r="C64" t="s">
        <v>18</v>
      </c>
      <c r="D64">
        <v>66</v>
      </c>
      <c r="E64" t="s">
        <v>14</v>
      </c>
      <c r="F64">
        <v>1</v>
      </c>
      <c r="G64">
        <v>206.99</v>
      </c>
      <c r="H64">
        <v>206.99</v>
      </c>
      <c r="I64">
        <v>201.2</v>
      </c>
      <c r="J64">
        <v>202.5</v>
      </c>
      <c r="K64">
        <v>-4.49</v>
      </c>
      <c r="L64" t="s">
        <v>15</v>
      </c>
      <c r="M64">
        <v>-2.0499999999999998</v>
      </c>
      <c r="N64">
        <v>-2.1700000000000001E-2</v>
      </c>
    </row>
    <row r="65" spans="1:14" x14ac:dyDescent="0.35">
      <c r="A65" s="1">
        <v>45956</v>
      </c>
      <c r="B65" s="4">
        <v>45956</v>
      </c>
      <c r="C65" t="s">
        <v>24</v>
      </c>
      <c r="D65">
        <v>67</v>
      </c>
      <c r="E65" t="s">
        <v>17</v>
      </c>
      <c r="F65">
        <v>1</v>
      </c>
      <c r="G65">
        <v>24.27</v>
      </c>
      <c r="H65">
        <v>24.4</v>
      </c>
      <c r="I65">
        <v>24.25</v>
      </c>
      <c r="J65">
        <v>24.33</v>
      </c>
      <c r="K65">
        <v>0.06</v>
      </c>
      <c r="L65" t="s">
        <v>15</v>
      </c>
      <c r="M65">
        <v>0.36</v>
      </c>
      <c r="N65">
        <v>2.5000000000000001E-3</v>
      </c>
    </row>
    <row r="66" spans="1:14" x14ac:dyDescent="0.35">
      <c r="A66" s="1">
        <v>45956</v>
      </c>
      <c r="B66" s="4">
        <v>45956</v>
      </c>
      <c r="C66" t="s">
        <v>20</v>
      </c>
      <c r="D66">
        <v>68</v>
      </c>
      <c r="E66" t="s">
        <v>14</v>
      </c>
      <c r="F66">
        <v>1</v>
      </c>
      <c r="G66">
        <v>243.36</v>
      </c>
      <c r="H66">
        <v>253.39</v>
      </c>
      <c r="I66">
        <v>241.95</v>
      </c>
      <c r="J66">
        <v>252.92</v>
      </c>
      <c r="K66">
        <v>9.56</v>
      </c>
      <c r="L66" t="s">
        <v>15</v>
      </c>
      <c r="M66">
        <v>7.63</v>
      </c>
      <c r="N66">
        <v>3.9300000000000002E-2</v>
      </c>
    </row>
    <row r="67" spans="1:14" x14ac:dyDescent="0.35">
      <c r="A67" s="1">
        <v>45956</v>
      </c>
      <c r="B67" s="4">
        <v>45956</v>
      </c>
      <c r="C67" t="s">
        <v>13</v>
      </c>
      <c r="D67">
        <v>69</v>
      </c>
      <c r="E67" t="s">
        <v>14</v>
      </c>
      <c r="F67">
        <v>1</v>
      </c>
      <c r="G67">
        <v>521.80999999999995</v>
      </c>
      <c r="H67">
        <v>524.37</v>
      </c>
      <c r="I67">
        <v>519.74</v>
      </c>
      <c r="J67">
        <v>522.63</v>
      </c>
      <c r="K67">
        <v>0.82</v>
      </c>
      <c r="L67" t="s">
        <v>15</v>
      </c>
      <c r="M67">
        <v>0.59</v>
      </c>
      <c r="N67">
        <v>1.6000000000000001E-3</v>
      </c>
    </row>
    <row r="68" spans="1:14" x14ac:dyDescent="0.35">
      <c r="A68" s="1">
        <v>45956</v>
      </c>
      <c r="B68" s="4">
        <v>45956</v>
      </c>
      <c r="C68" t="s">
        <v>19</v>
      </c>
      <c r="D68">
        <v>70</v>
      </c>
      <c r="E68" t="s">
        <v>14</v>
      </c>
      <c r="F68">
        <v>1</v>
      </c>
      <c r="G68">
        <v>13</v>
      </c>
      <c r="H68">
        <v>13.89</v>
      </c>
      <c r="I68">
        <v>12.9</v>
      </c>
      <c r="J68">
        <v>13.78</v>
      </c>
      <c r="K68">
        <v>0.78</v>
      </c>
      <c r="L68" t="s">
        <v>15</v>
      </c>
      <c r="M68">
        <v>7.91</v>
      </c>
      <c r="N68">
        <v>0.06</v>
      </c>
    </row>
    <row r="69" spans="1:14" x14ac:dyDescent="0.35">
      <c r="A69" s="1">
        <v>45956</v>
      </c>
      <c r="B69" s="4">
        <v>45956</v>
      </c>
      <c r="C69" t="s">
        <v>18</v>
      </c>
      <c r="D69">
        <v>71</v>
      </c>
      <c r="E69" t="s">
        <v>14</v>
      </c>
      <c r="F69">
        <v>1</v>
      </c>
      <c r="G69">
        <v>206.99</v>
      </c>
      <c r="H69">
        <v>206.99</v>
      </c>
      <c r="I69">
        <v>201.2</v>
      </c>
      <c r="J69">
        <v>202.5</v>
      </c>
      <c r="K69">
        <v>-4.49</v>
      </c>
      <c r="L69" t="s">
        <v>15</v>
      </c>
      <c r="M69">
        <v>-2.0499999999999998</v>
      </c>
      <c r="N69">
        <v>-2.1700000000000001E-2</v>
      </c>
    </row>
    <row r="70" spans="1:14" x14ac:dyDescent="0.35">
      <c r="A70" s="1">
        <v>45956</v>
      </c>
      <c r="B70" s="4">
        <v>45956</v>
      </c>
      <c r="C70" t="s">
        <v>24</v>
      </c>
      <c r="D70">
        <v>72</v>
      </c>
      <c r="E70" t="s">
        <v>17</v>
      </c>
      <c r="F70">
        <v>1</v>
      </c>
      <c r="G70">
        <v>24.27</v>
      </c>
      <c r="H70">
        <v>24.4</v>
      </c>
      <c r="I70">
        <v>24.25</v>
      </c>
      <c r="J70">
        <v>24.33</v>
      </c>
      <c r="K70">
        <v>0.06</v>
      </c>
      <c r="L70" t="s">
        <v>15</v>
      </c>
      <c r="M70">
        <v>0.36</v>
      </c>
      <c r="N70">
        <v>2.5000000000000001E-3</v>
      </c>
    </row>
    <row r="71" spans="1:14" x14ac:dyDescent="0.35">
      <c r="A71" s="1">
        <v>45956</v>
      </c>
      <c r="B71" s="4">
        <v>45956</v>
      </c>
      <c r="C71" t="s">
        <v>20</v>
      </c>
      <c r="D71">
        <v>73</v>
      </c>
      <c r="E71" t="s">
        <v>14</v>
      </c>
      <c r="F71">
        <v>1</v>
      </c>
      <c r="G71">
        <v>243.36</v>
      </c>
      <c r="H71">
        <v>253.39</v>
      </c>
      <c r="I71">
        <v>241.95</v>
      </c>
      <c r="J71">
        <v>252.92</v>
      </c>
      <c r="K71">
        <v>9.56</v>
      </c>
      <c r="L71" t="s">
        <v>15</v>
      </c>
      <c r="M71">
        <v>7.63</v>
      </c>
      <c r="N71">
        <v>3.9300000000000002E-2</v>
      </c>
    </row>
    <row r="72" spans="1:14" x14ac:dyDescent="0.35">
      <c r="A72" s="1">
        <v>45956</v>
      </c>
      <c r="B72" s="4">
        <v>45956</v>
      </c>
      <c r="C72" t="s">
        <v>13</v>
      </c>
      <c r="D72">
        <v>74</v>
      </c>
      <c r="E72" t="s">
        <v>14</v>
      </c>
      <c r="F72">
        <v>1</v>
      </c>
      <c r="G72">
        <v>521.80999999999995</v>
      </c>
      <c r="H72">
        <v>524.37</v>
      </c>
      <c r="I72">
        <v>519.74</v>
      </c>
      <c r="J72">
        <v>522.63</v>
      </c>
      <c r="K72">
        <v>0.82</v>
      </c>
      <c r="L72" t="s">
        <v>15</v>
      </c>
      <c r="M72">
        <v>0.59</v>
      </c>
      <c r="N72">
        <v>1.6000000000000001E-3</v>
      </c>
    </row>
    <row r="73" spans="1:14" x14ac:dyDescent="0.35">
      <c r="A73" s="1">
        <v>45956</v>
      </c>
      <c r="B73" s="4">
        <v>45956</v>
      </c>
      <c r="C73" t="s">
        <v>19</v>
      </c>
      <c r="D73">
        <v>75</v>
      </c>
      <c r="E73" t="s">
        <v>14</v>
      </c>
      <c r="F73">
        <v>1</v>
      </c>
      <c r="G73">
        <v>13</v>
      </c>
      <c r="H73">
        <v>13.89</v>
      </c>
      <c r="I73">
        <v>12.9</v>
      </c>
      <c r="J73">
        <v>13.78</v>
      </c>
      <c r="K73">
        <v>0.78</v>
      </c>
      <c r="L73" t="s">
        <v>15</v>
      </c>
      <c r="M73">
        <v>7.91</v>
      </c>
      <c r="N73">
        <v>0.06</v>
      </c>
    </row>
    <row r="74" spans="1:14" x14ac:dyDescent="0.35">
      <c r="A74" s="1">
        <v>45956</v>
      </c>
      <c r="B74" s="4">
        <v>45956</v>
      </c>
      <c r="C74" t="s">
        <v>18</v>
      </c>
      <c r="D74">
        <v>76</v>
      </c>
      <c r="E74" t="s">
        <v>14</v>
      </c>
      <c r="F74">
        <v>1</v>
      </c>
      <c r="G74">
        <v>206.99</v>
      </c>
      <c r="H74">
        <v>206.99</v>
      </c>
      <c r="I74">
        <v>201.2</v>
      </c>
      <c r="J74">
        <v>202.5</v>
      </c>
      <c r="K74">
        <v>-4.49</v>
      </c>
      <c r="L74" t="s">
        <v>15</v>
      </c>
      <c r="M74">
        <v>-2.0499999999999998</v>
      </c>
      <c r="N74">
        <v>-2.1700000000000001E-2</v>
      </c>
    </row>
    <row r="75" spans="1:14" x14ac:dyDescent="0.35">
      <c r="A75" s="1">
        <v>45956</v>
      </c>
      <c r="B75" s="4">
        <v>45956</v>
      </c>
      <c r="C75" t="s">
        <v>24</v>
      </c>
      <c r="D75">
        <v>77</v>
      </c>
      <c r="E75" t="s">
        <v>17</v>
      </c>
      <c r="F75">
        <v>1</v>
      </c>
      <c r="G75">
        <v>24.27</v>
      </c>
      <c r="H75">
        <v>24.4</v>
      </c>
      <c r="I75">
        <v>24.25</v>
      </c>
      <c r="J75">
        <v>24.33</v>
      </c>
      <c r="K75">
        <v>0.06</v>
      </c>
      <c r="L75" t="s">
        <v>15</v>
      </c>
      <c r="M75">
        <v>0.36</v>
      </c>
      <c r="N75">
        <v>2.5000000000000001E-3</v>
      </c>
    </row>
    <row r="76" spans="1:14" x14ac:dyDescent="0.35">
      <c r="A76" s="1">
        <v>45957</v>
      </c>
      <c r="B76" s="4">
        <v>45957</v>
      </c>
      <c r="C76" t="s">
        <v>20</v>
      </c>
      <c r="D76">
        <v>78</v>
      </c>
      <c r="E76" t="s">
        <v>14</v>
      </c>
      <c r="F76">
        <v>1</v>
      </c>
      <c r="G76">
        <v>257.88</v>
      </c>
      <c r="H76">
        <v>260.42</v>
      </c>
      <c r="I76">
        <v>249.8</v>
      </c>
      <c r="J76">
        <v>259.67</v>
      </c>
      <c r="K76">
        <v>1.79</v>
      </c>
      <c r="L76" t="s">
        <v>15</v>
      </c>
      <c r="M76">
        <v>2.67</v>
      </c>
      <c r="N76">
        <v>6.8999999999999999E-3</v>
      </c>
    </row>
    <row r="77" spans="1:14" x14ac:dyDescent="0.35">
      <c r="A77" s="1">
        <v>45957</v>
      </c>
      <c r="B77" s="4">
        <v>45957</v>
      </c>
      <c r="C77" t="s">
        <v>13</v>
      </c>
      <c r="D77">
        <v>79</v>
      </c>
      <c r="E77" t="s">
        <v>14</v>
      </c>
      <c r="F77">
        <v>1</v>
      </c>
      <c r="G77">
        <v>530.79</v>
      </c>
      <c r="H77">
        <v>533.58000000000004</v>
      </c>
      <c r="I77">
        <v>528.02</v>
      </c>
      <c r="J77">
        <v>530.53</v>
      </c>
      <c r="K77">
        <v>-0.26</v>
      </c>
      <c r="L77" t="s">
        <v>15</v>
      </c>
      <c r="M77">
        <v>1.51</v>
      </c>
      <c r="N77">
        <v>-5.0000000000000001E-4</v>
      </c>
    </row>
    <row r="78" spans="1:14" x14ac:dyDescent="0.35">
      <c r="A78" s="1">
        <v>45957</v>
      </c>
      <c r="B78" s="4">
        <v>45957</v>
      </c>
      <c r="C78" t="s">
        <v>19</v>
      </c>
      <c r="D78">
        <v>80</v>
      </c>
      <c r="E78" t="s">
        <v>14</v>
      </c>
      <c r="F78">
        <v>1</v>
      </c>
      <c r="G78">
        <v>13.78</v>
      </c>
      <c r="H78">
        <v>13.85</v>
      </c>
      <c r="I78">
        <v>13.34</v>
      </c>
      <c r="J78">
        <v>13.41</v>
      </c>
      <c r="K78">
        <v>-0.37</v>
      </c>
      <c r="L78" t="s">
        <v>15</v>
      </c>
      <c r="M78">
        <v>-2.69</v>
      </c>
      <c r="N78">
        <v>-2.69E-2</v>
      </c>
    </row>
    <row r="79" spans="1:14" x14ac:dyDescent="0.35">
      <c r="A79" s="1">
        <v>45957</v>
      </c>
      <c r="B79" s="4">
        <v>45957</v>
      </c>
      <c r="C79" t="s">
        <v>18</v>
      </c>
      <c r="D79">
        <v>81</v>
      </c>
      <c r="E79" t="s">
        <v>14</v>
      </c>
      <c r="F79">
        <v>1</v>
      </c>
      <c r="G79">
        <v>205.14</v>
      </c>
      <c r="H79">
        <v>205.38</v>
      </c>
      <c r="I79">
        <v>201.15</v>
      </c>
      <c r="J79">
        <v>201.5</v>
      </c>
      <c r="K79">
        <v>-3.64</v>
      </c>
      <c r="L79" t="s">
        <v>15</v>
      </c>
      <c r="M79">
        <v>-0.5</v>
      </c>
      <c r="N79">
        <v>-1.77E-2</v>
      </c>
    </row>
    <row r="80" spans="1:14" x14ac:dyDescent="0.35">
      <c r="A80" s="1">
        <v>45957</v>
      </c>
      <c r="B80" s="4">
        <v>45957</v>
      </c>
      <c r="C80" t="s">
        <v>24</v>
      </c>
      <c r="D80">
        <v>82</v>
      </c>
      <c r="E80" t="s">
        <v>17</v>
      </c>
      <c r="F80">
        <v>1</v>
      </c>
      <c r="G80">
        <v>24.31</v>
      </c>
      <c r="H80">
        <v>24.37</v>
      </c>
      <c r="I80">
        <v>24.2</v>
      </c>
      <c r="J80">
        <v>24.34</v>
      </c>
      <c r="K80">
        <v>0.03</v>
      </c>
      <c r="L80" t="s">
        <v>15</v>
      </c>
      <c r="M80">
        <v>0.04</v>
      </c>
      <c r="N80">
        <v>1.1999999999999999E-3</v>
      </c>
    </row>
    <row r="81" spans="1:14" x14ac:dyDescent="0.35">
      <c r="A81" s="1">
        <v>45957</v>
      </c>
      <c r="B81" s="4">
        <v>45957</v>
      </c>
      <c r="C81" t="s">
        <v>20</v>
      </c>
      <c r="D81">
        <v>83</v>
      </c>
      <c r="E81" t="s">
        <v>14</v>
      </c>
      <c r="F81">
        <v>1</v>
      </c>
      <c r="G81">
        <v>257.88</v>
      </c>
      <c r="H81">
        <v>260.42</v>
      </c>
      <c r="I81">
        <v>249.8</v>
      </c>
      <c r="J81">
        <v>259.67</v>
      </c>
      <c r="K81">
        <v>1.79</v>
      </c>
      <c r="L81" t="s">
        <v>15</v>
      </c>
      <c r="M81">
        <v>2.67</v>
      </c>
      <c r="N81">
        <v>6.8999999999999999E-3</v>
      </c>
    </row>
    <row r="82" spans="1:14" x14ac:dyDescent="0.35">
      <c r="A82" s="1">
        <v>45957</v>
      </c>
      <c r="B82" s="4">
        <v>45957</v>
      </c>
      <c r="C82" t="s">
        <v>13</v>
      </c>
      <c r="D82">
        <v>84</v>
      </c>
      <c r="E82" t="s">
        <v>14</v>
      </c>
      <c r="F82">
        <v>1</v>
      </c>
      <c r="G82">
        <v>530.79</v>
      </c>
      <c r="H82">
        <v>533.58000000000004</v>
      </c>
      <c r="I82">
        <v>528.02</v>
      </c>
      <c r="J82">
        <v>530.53</v>
      </c>
      <c r="K82">
        <v>-0.26</v>
      </c>
      <c r="L82" t="s">
        <v>15</v>
      </c>
      <c r="M82">
        <v>1.51</v>
      </c>
      <c r="N82">
        <v>-5.0000000000000001E-4</v>
      </c>
    </row>
    <row r="83" spans="1:14" x14ac:dyDescent="0.35">
      <c r="A83" s="1">
        <v>45957</v>
      </c>
      <c r="B83" s="4">
        <v>45957</v>
      </c>
      <c r="C83" t="s">
        <v>19</v>
      </c>
      <c r="D83">
        <v>85</v>
      </c>
      <c r="E83" t="s">
        <v>14</v>
      </c>
      <c r="F83">
        <v>1</v>
      </c>
      <c r="G83">
        <v>13.78</v>
      </c>
      <c r="H83">
        <v>13.85</v>
      </c>
      <c r="I83">
        <v>13.34</v>
      </c>
      <c r="J83">
        <v>13.41</v>
      </c>
      <c r="K83">
        <v>-0.37</v>
      </c>
      <c r="L83" t="s">
        <v>15</v>
      </c>
      <c r="M83">
        <v>-2.69</v>
      </c>
      <c r="N83">
        <v>-2.69E-2</v>
      </c>
    </row>
    <row r="84" spans="1:14" x14ac:dyDescent="0.35">
      <c r="A84" s="1">
        <v>45957</v>
      </c>
      <c r="B84" s="4">
        <v>45957</v>
      </c>
      <c r="C84" t="s">
        <v>18</v>
      </c>
      <c r="D84">
        <v>86</v>
      </c>
      <c r="E84" t="s">
        <v>14</v>
      </c>
      <c r="F84">
        <v>1</v>
      </c>
      <c r="G84">
        <v>205.14</v>
      </c>
      <c r="H84">
        <v>205.38</v>
      </c>
      <c r="I84">
        <v>201.15</v>
      </c>
      <c r="J84">
        <v>201.5</v>
      </c>
      <c r="K84">
        <v>-3.64</v>
      </c>
      <c r="L84" t="s">
        <v>15</v>
      </c>
      <c r="M84">
        <v>-0.5</v>
      </c>
      <c r="N84">
        <v>-1.77E-2</v>
      </c>
    </row>
    <row r="85" spans="1:14" x14ac:dyDescent="0.35">
      <c r="A85" s="1">
        <v>45957</v>
      </c>
      <c r="B85" s="4">
        <v>45957</v>
      </c>
      <c r="C85" t="s">
        <v>24</v>
      </c>
      <c r="D85">
        <v>87</v>
      </c>
      <c r="E85" t="s">
        <v>17</v>
      </c>
      <c r="F85">
        <v>1</v>
      </c>
      <c r="G85">
        <v>24.31</v>
      </c>
      <c r="H85">
        <v>24.37</v>
      </c>
      <c r="I85">
        <v>24.2</v>
      </c>
      <c r="J85">
        <v>24.34</v>
      </c>
      <c r="K85">
        <v>0.03</v>
      </c>
      <c r="L85" t="s">
        <v>15</v>
      </c>
      <c r="M85">
        <v>0.04</v>
      </c>
      <c r="N85">
        <v>1.1999999999999999E-3</v>
      </c>
    </row>
    <row r="86" spans="1:14" x14ac:dyDescent="0.35">
      <c r="A86" s="1">
        <v>45957</v>
      </c>
      <c r="B86" s="4">
        <v>45957</v>
      </c>
      <c r="C86" t="s">
        <v>20</v>
      </c>
      <c r="D86">
        <v>88</v>
      </c>
      <c r="E86" t="s">
        <v>14</v>
      </c>
      <c r="F86">
        <v>1</v>
      </c>
      <c r="G86">
        <v>257.88</v>
      </c>
      <c r="H86">
        <v>260.42</v>
      </c>
      <c r="I86">
        <v>249.8</v>
      </c>
      <c r="J86">
        <v>259.67</v>
      </c>
      <c r="K86">
        <v>1.79</v>
      </c>
      <c r="L86" t="s">
        <v>15</v>
      </c>
      <c r="M86">
        <v>2.67</v>
      </c>
      <c r="N86">
        <v>6.8999999999999999E-3</v>
      </c>
    </row>
    <row r="87" spans="1:14" x14ac:dyDescent="0.35">
      <c r="A87" s="1">
        <v>45957</v>
      </c>
      <c r="B87" s="4">
        <v>45957</v>
      </c>
      <c r="C87" t="s">
        <v>13</v>
      </c>
      <c r="D87">
        <v>89</v>
      </c>
      <c r="E87" t="s">
        <v>14</v>
      </c>
      <c r="F87">
        <v>1</v>
      </c>
      <c r="G87">
        <v>530.79</v>
      </c>
      <c r="H87">
        <v>533.58000000000004</v>
      </c>
      <c r="I87">
        <v>528.02</v>
      </c>
      <c r="J87">
        <v>530.53</v>
      </c>
      <c r="K87">
        <v>-0.26</v>
      </c>
      <c r="L87" t="s">
        <v>15</v>
      </c>
      <c r="M87">
        <v>1.51</v>
      </c>
      <c r="N87">
        <v>-5.0000000000000001E-4</v>
      </c>
    </row>
    <row r="88" spans="1:14" x14ac:dyDescent="0.35">
      <c r="A88" s="1">
        <v>45957</v>
      </c>
      <c r="B88" s="4">
        <v>45957</v>
      </c>
      <c r="C88" t="s">
        <v>19</v>
      </c>
      <c r="D88">
        <v>90</v>
      </c>
      <c r="E88" t="s">
        <v>14</v>
      </c>
      <c r="F88">
        <v>1</v>
      </c>
      <c r="G88">
        <v>13.78</v>
      </c>
      <c r="H88">
        <v>13.85</v>
      </c>
      <c r="I88">
        <v>13.34</v>
      </c>
      <c r="J88">
        <v>13.41</v>
      </c>
      <c r="K88">
        <v>-0.37</v>
      </c>
      <c r="L88" t="s">
        <v>15</v>
      </c>
      <c r="M88">
        <v>-2.69</v>
      </c>
      <c r="N88">
        <v>-2.69E-2</v>
      </c>
    </row>
    <row r="89" spans="1:14" x14ac:dyDescent="0.35">
      <c r="A89" s="1">
        <v>45957</v>
      </c>
      <c r="B89" s="4">
        <v>45957</v>
      </c>
      <c r="C89" t="s">
        <v>18</v>
      </c>
      <c r="D89">
        <v>91</v>
      </c>
      <c r="E89" t="s">
        <v>14</v>
      </c>
      <c r="F89">
        <v>1</v>
      </c>
      <c r="G89">
        <v>205.14</v>
      </c>
      <c r="H89">
        <v>205.38</v>
      </c>
      <c r="I89">
        <v>201.15</v>
      </c>
      <c r="J89">
        <v>201.5</v>
      </c>
      <c r="K89">
        <v>-3.64</v>
      </c>
      <c r="L89" t="s">
        <v>15</v>
      </c>
      <c r="M89">
        <v>-0.5</v>
      </c>
      <c r="N89">
        <v>-1.77E-2</v>
      </c>
    </row>
    <row r="90" spans="1:14" x14ac:dyDescent="0.35">
      <c r="A90" s="1">
        <v>45957</v>
      </c>
      <c r="B90" s="4">
        <v>45957</v>
      </c>
      <c r="C90" t="s">
        <v>24</v>
      </c>
      <c r="D90">
        <v>92</v>
      </c>
      <c r="E90" t="s">
        <v>17</v>
      </c>
      <c r="F90">
        <v>1</v>
      </c>
      <c r="G90">
        <v>24.31</v>
      </c>
      <c r="H90">
        <v>24.37</v>
      </c>
      <c r="I90">
        <v>24.2</v>
      </c>
      <c r="J90">
        <v>24.34</v>
      </c>
      <c r="K90">
        <v>0.03</v>
      </c>
      <c r="L90" t="s">
        <v>15</v>
      </c>
      <c r="M90">
        <v>0.04</v>
      </c>
      <c r="N90">
        <v>1.1999999999999999E-3</v>
      </c>
    </row>
    <row r="91" spans="1:14" x14ac:dyDescent="0.35">
      <c r="A91" s="1">
        <v>45957</v>
      </c>
      <c r="B91" s="4">
        <v>45957</v>
      </c>
      <c r="C91" t="s">
        <v>20</v>
      </c>
      <c r="D91">
        <v>93</v>
      </c>
      <c r="E91" t="s">
        <v>14</v>
      </c>
      <c r="F91">
        <v>1</v>
      </c>
      <c r="G91">
        <v>257.88</v>
      </c>
      <c r="H91">
        <v>260.42</v>
      </c>
      <c r="I91">
        <v>249.8</v>
      </c>
      <c r="J91">
        <v>259.67</v>
      </c>
      <c r="K91">
        <v>1.79</v>
      </c>
      <c r="L91" t="s">
        <v>15</v>
      </c>
      <c r="M91">
        <v>2.67</v>
      </c>
      <c r="N91">
        <v>6.8999999999999999E-3</v>
      </c>
    </row>
    <row r="92" spans="1:14" x14ac:dyDescent="0.35">
      <c r="A92" s="1">
        <v>45957</v>
      </c>
      <c r="B92" s="4">
        <v>45957</v>
      </c>
      <c r="C92" t="s">
        <v>13</v>
      </c>
      <c r="D92">
        <v>94</v>
      </c>
      <c r="E92" t="s">
        <v>14</v>
      </c>
      <c r="F92">
        <v>1</v>
      </c>
      <c r="G92">
        <v>530.79</v>
      </c>
      <c r="H92">
        <v>533.58000000000004</v>
      </c>
      <c r="I92">
        <v>528.02</v>
      </c>
      <c r="J92">
        <v>530.53</v>
      </c>
      <c r="K92">
        <v>-0.26</v>
      </c>
      <c r="L92" t="s">
        <v>15</v>
      </c>
      <c r="M92">
        <v>1.51</v>
      </c>
      <c r="N92">
        <v>-5.0000000000000001E-4</v>
      </c>
    </row>
    <row r="93" spans="1:14" x14ac:dyDescent="0.35">
      <c r="A93" s="1">
        <v>45957</v>
      </c>
      <c r="B93" s="4">
        <v>45957</v>
      </c>
      <c r="C93" t="s">
        <v>19</v>
      </c>
      <c r="D93">
        <v>95</v>
      </c>
      <c r="E93" t="s">
        <v>14</v>
      </c>
      <c r="F93">
        <v>1</v>
      </c>
      <c r="G93">
        <v>13.78</v>
      </c>
      <c r="H93">
        <v>13.85</v>
      </c>
      <c r="I93">
        <v>13.34</v>
      </c>
      <c r="J93">
        <v>13.41</v>
      </c>
      <c r="K93">
        <v>-0.37</v>
      </c>
      <c r="L93" t="s">
        <v>15</v>
      </c>
      <c r="M93">
        <v>-2.69</v>
      </c>
      <c r="N93">
        <v>-2.69E-2</v>
      </c>
    </row>
    <row r="94" spans="1:14" x14ac:dyDescent="0.35">
      <c r="A94" s="1">
        <v>45957</v>
      </c>
      <c r="B94" s="4">
        <v>45957</v>
      </c>
      <c r="C94" t="s">
        <v>18</v>
      </c>
      <c r="D94">
        <v>96</v>
      </c>
      <c r="E94" t="s">
        <v>14</v>
      </c>
      <c r="F94">
        <v>1</v>
      </c>
      <c r="G94">
        <v>205.14</v>
      </c>
      <c r="H94">
        <v>205.38</v>
      </c>
      <c r="I94">
        <v>201.15</v>
      </c>
      <c r="J94">
        <v>201.5</v>
      </c>
      <c r="K94">
        <v>-3.64</v>
      </c>
      <c r="L94" t="s">
        <v>15</v>
      </c>
      <c r="M94">
        <v>-0.5</v>
      </c>
      <c r="N94">
        <v>-1.77E-2</v>
      </c>
    </row>
    <row r="95" spans="1:14" x14ac:dyDescent="0.35">
      <c r="A95" s="1">
        <v>45957</v>
      </c>
      <c r="B95" s="4">
        <v>45957</v>
      </c>
      <c r="C95" t="s">
        <v>24</v>
      </c>
      <c r="D95">
        <v>97</v>
      </c>
      <c r="E95" t="s">
        <v>17</v>
      </c>
      <c r="F95">
        <v>1</v>
      </c>
      <c r="G95">
        <v>24.31</v>
      </c>
      <c r="H95">
        <v>24.37</v>
      </c>
      <c r="I95">
        <v>24.2</v>
      </c>
      <c r="J95">
        <v>24.34</v>
      </c>
      <c r="K95">
        <v>0.03</v>
      </c>
      <c r="L95" t="s">
        <v>15</v>
      </c>
      <c r="M95">
        <v>0.04</v>
      </c>
      <c r="N95">
        <v>1.1999999999999999E-3</v>
      </c>
    </row>
    <row r="96" spans="1:14" x14ac:dyDescent="0.35">
      <c r="A96" s="1">
        <v>45957</v>
      </c>
      <c r="B96" s="4">
        <v>45957</v>
      </c>
      <c r="C96" t="s">
        <v>20</v>
      </c>
      <c r="D96">
        <v>98</v>
      </c>
      <c r="E96" t="s">
        <v>14</v>
      </c>
      <c r="F96">
        <v>1</v>
      </c>
      <c r="G96">
        <v>257.88</v>
      </c>
      <c r="H96">
        <v>260.42</v>
      </c>
      <c r="I96">
        <v>249.8</v>
      </c>
      <c r="J96">
        <v>259.67</v>
      </c>
      <c r="K96">
        <v>1.79</v>
      </c>
      <c r="L96" t="s">
        <v>15</v>
      </c>
      <c r="M96">
        <v>2.67</v>
      </c>
      <c r="N96">
        <v>6.8999999999999999E-3</v>
      </c>
    </row>
    <row r="97" spans="1:14" x14ac:dyDescent="0.35">
      <c r="A97" s="1">
        <v>45957</v>
      </c>
      <c r="B97" s="4">
        <v>45957</v>
      </c>
      <c r="C97" t="s">
        <v>13</v>
      </c>
      <c r="D97">
        <v>99</v>
      </c>
      <c r="E97" t="s">
        <v>14</v>
      </c>
      <c r="F97">
        <v>1</v>
      </c>
      <c r="G97">
        <v>530.79</v>
      </c>
      <c r="H97">
        <v>533.58000000000004</v>
      </c>
      <c r="I97">
        <v>528.02</v>
      </c>
      <c r="J97">
        <v>530.53</v>
      </c>
      <c r="K97">
        <v>-0.26</v>
      </c>
      <c r="L97" t="s">
        <v>15</v>
      </c>
      <c r="M97">
        <v>1.51</v>
      </c>
      <c r="N97">
        <v>-5.0000000000000001E-4</v>
      </c>
    </row>
    <row r="98" spans="1:14" x14ac:dyDescent="0.35">
      <c r="A98" s="1">
        <v>45957</v>
      </c>
      <c r="B98" s="4">
        <v>45957</v>
      </c>
      <c r="C98" t="s">
        <v>19</v>
      </c>
      <c r="D98">
        <v>100</v>
      </c>
      <c r="E98" t="s">
        <v>14</v>
      </c>
      <c r="F98">
        <v>1</v>
      </c>
      <c r="G98">
        <v>13.78</v>
      </c>
      <c r="H98">
        <v>13.85</v>
      </c>
      <c r="I98">
        <v>13.34</v>
      </c>
      <c r="J98">
        <v>13.41</v>
      </c>
      <c r="K98">
        <v>-0.37</v>
      </c>
      <c r="L98" t="s">
        <v>15</v>
      </c>
      <c r="M98">
        <v>-2.69</v>
      </c>
      <c r="N98">
        <v>-2.69E-2</v>
      </c>
    </row>
    <row r="99" spans="1:14" x14ac:dyDescent="0.35">
      <c r="A99" s="1">
        <v>45957</v>
      </c>
      <c r="B99" s="4">
        <v>45957</v>
      </c>
      <c r="C99" t="s">
        <v>18</v>
      </c>
      <c r="D99">
        <v>101</v>
      </c>
      <c r="E99" t="s">
        <v>14</v>
      </c>
      <c r="F99">
        <v>1</v>
      </c>
      <c r="G99">
        <v>205.14</v>
      </c>
      <c r="H99">
        <v>205.38</v>
      </c>
      <c r="I99">
        <v>201.15</v>
      </c>
      <c r="J99">
        <v>201.5</v>
      </c>
      <c r="K99">
        <v>-3.64</v>
      </c>
      <c r="L99" t="s">
        <v>15</v>
      </c>
      <c r="M99">
        <v>-0.5</v>
      </c>
      <c r="N99">
        <v>-1.77E-2</v>
      </c>
    </row>
    <row r="100" spans="1:14" x14ac:dyDescent="0.35">
      <c r="A100" s="1">
        <v>45957</v>
      </c>
      <c r="B100" s="4">
        <v>45957</v>
      </c>
      <c r="C100" t="s">
        <v>24</v>
      </c>
      <c r="D100">
        <v>102</v>
      </c>
      <c r="E100" t="s">
        <v>17</v>
      </c>
      <c r="F100">
        <v>1</v>
      </c>
      <c r="G100">
        <v>24.31</v>
      </c>
      <c r="H100">
        <v>24.37</v>
      </c>
      <c r="I100">
        <v>24.2</v>
      </c>
      <c r="J100">
        <v>24.34</v>
      </c>
      <c r="K100">
        <v>0.03</v>
      </c>
      <c r="L100" t="s">
        <v>15</v>
      </c>
      <c r="M100">
        <v>0.04</v>
      </c>
      <c r="N100">
        <v>1.1999999999999999E-3</v>
      </c>
    </row>
    <row r="101" spans="1:14" x14ac:dyDescent="0.35">
      <c r="A101" s="1">
        <v>45957</v>
      </c>
      <c r="B101" s="4">
        <v>45957</v>
      </c>
      <c r="C101" t="s">
        <v>20</v>
      </c>
      <c r="D101">
        <v>103</v>
      </c>
      <c r="E101" t="s">
        <v>14</v>
      </c>
      <c r="F101">
        <v>1</v>
      </c>
      <c r="G101">
        <v>257.88</v>
      </c>
      <c r="H101">
        <v>260.42</v>
      </c>
      <c r="I101">
        <v>249.8</v>
      </c>
      <c r="J101">
        <v>259.67</v>
      </c>
      <c r="K101">
        <v>1.79</v>
      </c>
      <c r="L101" t="s">
        <v>15</v>
      </c>
      <c r="M101">
        <v>2.67</v>
      </c>
      <c r="N101">
        <v>6.8999999999999999E-3</v>
      </c>
    </row>
    <row r="102" spans="1:14" x14ac:dyDescent="0.35">
      <c r="A102" s="1">
        <v>45957</v>
      </c>
      <c r="B102" s="4">
        <v>45957</v>
      </c>
      <c r="C102" t="s">
        <v>13</v>
      </c>
      <c r="D102">
        <v>104</v>
      </c>
      <c r="E102" t="s">
        <v>14</v>
      </c>
      <c r="F102">
        <v>1</v>
      </c>
      <c r="G102">
        <v>530.79</v>
      </c>
      <c r="H102">
        <v>533.58000000000004</v>
      </c>
      <c r="I102">
        <v>528.02</v>
      </c>
      <c r="J102">
        <v>530.53</v>
      </c>
      <c r="K102">
        <v>-0.26</v>
      </c>
      <c r="L102" t="s">
        <v>15</v>
      </c>
      <c r="M102">
        <v>1.51</v>
      </c>
      <c r="N102">
        <v>-5.0000000000000001E-4</v>
      </c>
    </row>
    <row r="103" spans="1:14" x14ac:dyDescent="0.35">
      <c r="A103" s="1">
        <v>45957</v>
      </c>
      <c r="B103" s="4">
        <v>45957</v>
      </c>
      <c r="C103" t="s">
        <v>19</v>
      </c>
      <c r="D103">
        <v>105</v>
      </c>
      <c r="E103" t="s">
        <v>14</v>
      </c>
      <c r="F103">
        <v>1</v>
      </c>
      <c r="G103">
        <v>13.78</v>
      </c>
      <c r="H103">
        <v>13.85</v>
      </c>
      <c r="I103">
        <v>13.34</v>
      </c>
      <c r="J103">
        <v>13.41</v>
      </c>
      <c r="K103">
        <v>-0.37</v>
      </c>
      <c r="L103" t="s">
        <v>15</v>
      </c>
      <c r="M103">
        <v>-2.69</v>
      </c>
      <c r="N103">
        <v>-2.69E-2</v>
      </c>
    </row>
    <row r="104" spans="1:14" x14ac:dyDescent="0.35">
      <c r="A104" s="1">
        <v>45957</v>
      </c>
      <c r="B104" s="4">
        <v>45957</v>
      </c>
      <c r="C104" t="s">
        <v>18</v>
      </c>
      <c r="D104">
        <v>106</v>
      </c>
      <c r="E104" t="s">
        <v>14</v>
      </c>
      <c r="F104">
        <v>1</v>
      </c>
      <c r="G104">
        <v>205.14</v>
      </c>
      <c r="H104">
        <v>205.38</v>
      </c>
      <c r="I104">
        <v>201.15</v>
      </c>
      <c r="J104">
        <v>201.5</v>
      </c>
      <c r="K104">
        <v>-3.64</v>
      </c>
      <c r="L104" t="s">
        <v>15</v>
      </c>
      <c r="M104">
        <v>-0.5</v>
      </c>
      <c r="N104">
        <v>-1.77E-2</v>
      </c>
    </row>
    <row r="105" spans="1:14" x14ac:dyDescent="0.35">
      <c r="A105" s="1">
        <v>45957</v>
      </c>
      <c r="B105" s="4">
        <v>45957</v>
      </c>
      <c r="C105" t="s">
        <v>24</v>
      </c>
      <c r="D105">
        <v>107</v>
      </c>
      <c r="E105" t="s">
        <v>17</v>
      </c>
      <c r="F105">
        <v>1</v>
      </c>
      <c r="G105">
        <v>24.31</v>
      </c>
      <c r="H105">
        <v>24.37</v>
      </c>
      <c r="I105">
        <v>24.2</v>
      </c>
      <c r="J105">
        <v>24.34</v>
      </c>
      <c r="K105">
        <v>0.03</v>
      </c>
      <c r="L105" t="s">
        <v>15</v>
      </c>
      <c r="M105">
        <v>0.04</v>
      </c>
      <c r="N105">
        <v>1.1999999999999999E-3</v>
      </c>
    </row>
    <row r="106" spans="1:14" x14ac:dyDescent="0.35">
      <c r="A106" s="1">
        <v>45957</v>
      </c>
      <c r="B106" s="4">
        <v>45957</v>
      </c>
      <c r="C106" t="s">
        <v>20</v>
      </c>
      <c r="D106">
        <v>108</v>
      </c>
      <c r="E106" t="s">
        <v>14</v>
      </c>
      <c r="F106">
        <v>1</v>
      </c>
      <c r="G106">
        <v>257.88</v>
      </c>
      <c r="H106">
        <v>260.42</v>
      </c>
      <c r="I106">
        <v>249.8</v>
      </c>
      <c r="J106">
        <v>259.67</v>
      </c>
      <c r="K106">
        <v>1.79</v>
      </c>
      <c r="L106" t="s">
        <v>15</v>
      </c>
      <c r="M106">
        <v>2.67</v>
      </c>
      <c r="N106">
        <v>6.8999999999999999E-3</v>
      </c>
    </row>
    <row r="107" spans="1:14" x14ac:dyDescent="0.35">
      <c r="A107" s="1">
        <v>45957</v>
      </c>
      <c r="B107" s="4">
        <v>45957</v>
      </c>
      <c r="C107" t="s">
        <v>13</v>
      </c>
      <c r="D107">
        <v>109</v>
      </c>
      <c r="E107" t="s">
        <v>14</v>
      </c>
      <c r="F107">
        <v>1</v>
      </c>
      <c r="G107">
        <v>530.79</v>
      </c>
      <c r="H107">
        <v>533.58000000000004</v>
      </c>
      <c r="I107">
        <v>528.02</v>
      </c>
      <c r="J107">
        <v>530.53</v>
      </c>
      <c r="K107">
        <v>-0.26</v>
      </c>
      <c r="L107" t="s">
        <v>15</v>
      </c>
      <c r="M107">
        <v>1.51</v>
      </c>
      <c r="N107">
        <v>-5.0000000000000001E-4</v>
      </c>
    </row>
    <row r="108" spans="1:14" x14ac:dyDescent="0.35">
      <c r="A108" s="1">
        <v>45957</v>
      </c>
      <c r="B108" s="4">
        <v>45957</v>
      </c>
      <c r="C108" t="s">
        <v>19</v>
      </c>
      <c r="D108">
        <v>110</v>
      </c>
      <c r="E108" t="s">
        <v>14</v>
      </c>
      <c r="F108">
        <v>1</v>
      </c>
      <c r="G108">
        <v>13.78</v>
      </c>
      <c r="H108">
        <v>13.85</v>
      </c>
      <c r="I108">
        <v>13.34</v>
      </c>
      <c r="J108">
        <v>13.41</v>
      </c>
      <c r="K108">
        <v>-0.37</v>
      </c>
      <c r="L108" t="s">
        <v>15</v>
      </c>
      <c r="M108">
        <v>-2.69</v>
      </c>
      <c r="N108">
        <v>-2.69E-2</v>
      </c>
    </row>
    <row r="109" spans="1:14" x14ac:dyDescent="0.35">
      <c r="A109" s="1">
        <v>45957</v>
      </c>
      <c r="B109" s="4">
        <v>45957</v>
      </c>
      <c r="C109" t="s">
        <v>18</v>
      </c>
      <c r="D109">
        <v>111</v>
      </c>
      <c r="E109" t="s">
        <v>14</v>
      </c>
      <c r="F109">
        <v>1</v>
      </c>
      <c r="G109">
        <v>205.14</v>
      </c>
      <c r="H109">
        <v>205.38</v>
      </c>
      <c r="I109">
        <v>201.15</v>
      </c>
      <c r="J109">
        <v>201.5</v>
      </c>
      <c r="K109">
        <v>-3.64</v>
      </c>
      <c r="L109" t="s">
        <v>15</v>
      </c>
      <c r="M109">
        <v>-0.5</v>
      </c>
      <c r="N109">
        <v>-1.77E-2</v>
      </c>
    </row>
    <row r="110" spans="1:14" x14ac:dyDescent="0.35">
      <c r="A110" s="1">
        <v>45957</v>
      </c>
      <c r="B110" s="4">
        <v>45957</v>
      </c>
      <c r="C110" t="s">
        <v>24</v>
      </c>
      <c r="D110">
        <v>112</v>
      </c>
      <c r="E110" t="s">
        <v>17</v>
      </c>
      <c r="F110">
        <v>1</v>
      </c>
      <c r="G110">
        <v>24.31</v>
      </c>
      <c r="H110">
        <v>24.37</v>
      </c>
      <c r="I110">
        <v>24.2</v>
      </c>
      <c r="J110">
        <v>24.34</v>
      </c>
      <c r="K110">
        <v>0.03</v>
      </c>
      <c r="L110" t="s">
        <v>15</v>
      </c>
      <c r="M110">
        <v>0.04</v>
      </c>
      <c r="N110">
        <v>1.1999999999999999E-3</v>
      </c>
    </row>
    <row r="111" spans="1:14" x14ac:dyDescent="0.35">
      <c r="A111" s="1">
        <v>45957</v>
      </c>
      <c r="B111" s="4">
        <v>45957</v>
      </c>
      <c r="C111" t="s">
        <v>20</v>
      </c>
      <c r="D111">
        <v>113</v>
      </c>
      <c r="G111">
        <v>257.88</v>
      </c>
      <c r="H111">
        <v>260.42</v>
      </c>
      <c r="I111">
        <v>249.8</v>
      </c>
      <c r="J111">
        <v>259.67</v>
      </c>
      <c r="K111">
        <v>1.79</v>
      </c>
      <c r="L111" t="s">
        <v>15</v>
      </c>
      <c r="M111">
        <v>2.67</v>
      </c>
      <c r="N111">
        <v>6.8999999999999999E-3</v>
      </c>
    </row>
    <row r="112" spans="1:14" x14ac:dyDescent="0.35">
      <c r="A112" s="1">
        <v>45957</v>
      </c>
      <c r="B112" s="4">
        <v>45957</v>
      </c>
      <c r="C112" t="s">
        <v>13</v>
      </c>
      <c r="D112">
        <v>114</v>
      </c>
      <c r="G112">
        <v>530.79</v>
      </c>
      <c r="H112">
        <v>533.58000000000004</v>
      </c>
      <c r="I112">
        <v>528.02</v>
      </c>
      <c r="J112">
        <v>530.53</v>
      </c>
      <c r="K112">
        <v>-0.26</v>
      </c>
      <c r="L112" t="s">
        <v>15</v>
      </c>
      <c r="M112">
        <v>1.51</v>
      </c>
      <c r="N112">
        <v>-5.0000000000000001E-4</v>
      </c>
    </row>
    <row r="113" spans="1:14" x14ac:dyDescent="0.35">
      <c r="A113" s="1">
        <v>45957</v>
      </c>
      <c r="B113" s="4">
        <v>45957</v>
      </c>
      <c r="C113" t="s">
        <v>19</v>
      </c>
      <c r="D113">
        <v>115</v>
      </c>
      <c r="G113">
        <v>13.78</v>
      </c>
      <c r="H113">
        <v>13.85</v>
      </c>
      <c r="I113">
        <v>13.34</v>
      </c>
      <c r="J113">
        <v>13.41</v>
      </c>
      <c r="K113">
        <v>-0.37</v>
      </c>
      <c r="L113" t="s">
        <v>15</v>
      </c>
      <c r="M113">
        <v>-2.69</v>
      </c>
      <c r="N113">
        <v>-2.69E-2</v>
      </c>
    </row>
    <row r="114" spans="1:14" x14ac:dyDescent="0.35">
      <c r="A114" s="1">
        <v>45957</v>
      </c>
      <c r="B114" s="4">
        <v>45957</v>
      </c>
      <c r="C114" t="s">
        <v>18</v>
      </c>
      <c r="D114">
        <v>116</v>
      </c>
      <c r="G114">
        <v>205.14</v>
      </c>
      <c r="H114">
        <v>205.38</v>
      </c>
      <c r="I114">
        <v>201.15</v>
      </c>
      <c r="J114">
        <v>201.5</v>
      </c>
      <c r="K114">
        <v>-3.64</v>
      </c>
      <c r="L114" t="s">
        <v>15</v>
      </c>
      <c r="M114">
        <v>-0.5</v>
      </c>
      <c r="N114">
        <v>-1.77E-2</v>
      </c>
    </row>
    <row r="115" spans="1:14" x14ac:dyDescent="0.35">
      <c r="A115" s="1">
        <v>45957</v>
      </c>
      <c r="B115" s="4">
        <v>45957</v>
      </c>
      <c r="C115" t="s">
        <v>24</v>
      </c>
      <c r="D115">
        <v>117</v>
      </c>
      <c r="G115">
        <v>24.31</v>
      </c>
      <c r="H115">
        <v>24.37</v>
      </c>
      <c r="I115">
        <v>24.2</v>
      </c>
      <c r="J115">
        <v>24.34</v>
      </c>
      <c r="K115">
        <v>0.03</v>
      </c>
      <c r="L115" t="s">
        <v>15</v>
      </c>
      <c r="M115">
        <v>0.04</v>
      </c>
      <c r="N115">
        <v>1.1999999999999999E-3</v>
      </c>
    </row>
    <row r="116" spans="1:14" x14ac:dyDescent="0.35">
      <c r="A116" s="1">
        <v>45957</v>
      </c>
      <c r="B116" s="4">
        <v>45957</v>
      </c>
      <c r="C116" t="s">
        <v>25</v>
      </c>
      <c r="D116">
        <v>118</v>
      </c>
      <c r="E116" t="s">
        <v>17</v>
      </c>
      <c r="F116">
        <v>1</v>
      </c>
      <c r="G116">
        <v>23.4</v>
      </c>
      <c r="H116">
        <v>24.95</v>
      </c>
      <c r="I116">
        <v>23</v>
      </c>
      <c r="J116">
        <v>24.17</v>
      </c>
      <c r="K116">
        <v>0.77</v>
      </c>
      <c r="L116" t="s">
        <v>15</v>
      </c>
      <c r="M116">
        <v>41.18</v>
      </c>
      <c r="N116">
        <v>3.2899999999999999E-2</v>
      </c>
    </row>
    <row r="117" spans="1:14" x14ac:dyDescent="0.35">
      <c r="A117" s="1">
        <v>45957</v>
      </c>
      <c r="B117" s="4">
        <v>45957</v>
      </c>
      <c r="C117" t="s">
        <v>26</v>
      </c>
      <c r="D117">
        <v>119</v>
      </c>
      <c r="E117" t="s">
        <v>17</v>
      </c>
      <c r="F117">
        <v>1</v>
      </c>
      <c r="G117">
        <v>186.43</v>
      </c>
      <c r="H117">
        <v>186.91</v>
      </c>
      <c r="I117">
        <v>181.33</v>
      </c>
      <c r="J117">
        <v>181.39</v>
      </c>
      <c r="K117">
        <v>-5.04</v>
      </c>
      <c r="L117" t="s">
        <v>15</v>
      </c>
      <c r="M117">
        <v>1.81</v>
      </c>
      <c r="N117">
        <v>-2.7E-2</v>
      </c>
    </row>
    <row r="118" spans="1:14" x14ac:dyDescent="0.35">
      <c r="A118" s="1">
        <v>45957</v>
      </c>
      <c r="B118" s="4">
        <v>45957</v>
      </c>
      <c r="C118" t="s">
        <v>16</v>
      </c>
      <c r="D118">
        <v>120</v>
      </c>
      <c r="E118" t="s">
        <v>17</v>
      </c>
      <c r="F118">
        <v>1</v>
      </c>
      <c r="G118">
        <v>439.98</v>
      </c>
      <c r="H118">
        <v>460.16</v>
      </c>
      <c r="I118">
        <v>438.69</v>
      </c>
      <c r="J118">
        <v>452.42</v>
      </c>
      <c r="K118">
        <v>12.44</v>
      </c>
      <c r="L118" t="s">
        <v>15</v>
      </c>
      <c r="M118">
        <v>4.3099999999999996</v>
      </c>
      <c r="N118">
        <v>2.8299999999999999E-2</v>
      </c>
    </row>
    <row r="119" spans="1:14" x14ac:dyDescent="0.35">
      <c r="A119" s="1">
        <v>45957</v>
      </c>
      <c r="B119" s="4">
        <v>45957</v>
      </c>
      <c r="C119" t="s">
        <v>27</v>
      </c>
      <c r="D119">
        <v>121</v>
      </c>
      <c r="E119" t="s">
        <v>17</v>
      </c>
      <c r="F119">
        <v>1</v>
      </c>
      <c r="G119">
        <v>189.99</v>
      </c>
      <c r="H119">
        <v>192</v>
      </c>
      <c r="I119">
        <v>188.43</v>
      </c>
      <c r="J119">
        <v>191.49</v>
      </c>
      <c r="K119">
        <v>1.5</v>
      </c>
      <c r="L119" t="s">
        <v>15</v>
      </c>
      <c r="M119">
        <v>2.81</v>
      </c>
      <c r="N119">
        <v>7.9000000000000008E-3</v>
      </c>
    </row>
    <row r="120" spans="1:14" x14ac:dyDescent="0.35">
      <c r="A120" s="1">
        <v>45957</v>
      </c>
      <c r="B120" s="4">
        <v>45957</v>
      </c>
      <c r="C120" t="s">
        <v>28</v>
      </c>
      <c r="D120">
        <v>122</v>
      </c>
      <c r="E120" t="s">
        <v>14</v>
      </c>
      <c r="G120">
        <v>264.62</v>
      </c>
      <c r="H120">
        <v>268.86</v>
      </c>
      <c r="I120">
        <v>264.39</v>
      </c>
      <c r="J120">
        <v>268.55</v>
      </c>
      <c r="K120">
        <v>3.93</v>
      </c>
      <c r="L120" t="s">
        <v>15</v>
      </c>
      <c r="M120">
        <v>2.2799999999999998</v>
      </c>
      <c r="N120">
        <v>1.49E-2</v>
      </c>
    </row>
    <row r="121" spans="1:14" x14ac:dyDescent="0.35">
      <c r="A121" s="1">
        <v>45958</v>
      </c>
      <c r="B121" s="4">
        <v>45958</v>
      </c>
      <c r="C121" t="s">
        <v>25</v>
      </c>
      <c r="E121" s="5" t="s">
        <v>14</v>
      </c>
      <c r="G121">
        <v>24.13</v>
      </c>
      <c r="H121">
        <v>25</v>
      </c>
      <c r="I121">
        <v>23.78</v>
      </c>
      <c r="J121">
        <v>24.29</v>
      </c>
      <c r="K121">
        <v>0.16</v>
      </c>
      <c r="L121" t="s">
        <v>15</v>
      </c>
      <c r="M121">
        <v>0.5</v>
      </c>
      <c r="N121">
        <v>6.6E-3</v>
      </c>
    </row>
    <row r="122" spans="1:14" x14ac:dyDescent="0.35">
      <c r="A122" s="1">
        <v>45958</v>
      </c>
      <c r="B122" s="4">
        <v>45958</v>
      </c>
      <c r="C122" t="s">
        <v>26</v>
      </c>
      <c r="E122" s="2" t="str">
        <f>edit!F122</f>
        <v>bullish</v>
      </c>
      <c r="G122">
        <v>181.4</v>
      </c>
      <c r="H122">
        <v>181.52</v>
      </c>
      <c r="I122">
        <v>175.18</v>
      </c>
      <c r="J122">
        <v>179.98</v>
      </c>
      <c r="K122">
        <v>-1.42</v>
      </c>
      <c r="L122" t="s">
        <v>15</v>
      </c>
      <c r="M122">
        <v>-0.78</v>
      </c>
      <c r="N122">
        <v>-7.7999999999999996E-3</v>
      </c>
    </row>
    <row r="123" spans="1:14" x14ac:dyDescent="0.35">
      <c r="A123" s="1">
        <v>45958</v>
      </c>
      <c r="B123" s="4">
        <v>45958</v>
      </c>
      <c r="C123" t="s">
        <v>27</v>
      </c>
      <c r="E123" s="2" t="str">
        <f>edit!F123</f>
        <v>bullish</v>
      </c>
      <c r="G123">
        <v>193.05</v>
      </c>
      <c r="H123">
        <v>203.15</v>
      </c>
      <c r="I123">
        <v>191.91</v>
      </c>
      <c r="J123">
        <v>201.03</v>
      </c>
      <c r="K123">
        <v>7.98</v>
      </c>
      <c r="L123" t="s">
        <v>15</v>
      </c>
      <c r="M123">
        <v>4.9800000000000004</v>
      </c>
      <c r="N123">
        <v>4.1300000000000003E-2</v>
      </c>
    </row>
    <row r="124" spans="1:14" x14ac:dyDescent="0.35">
      <c r="A124" s="1">
        <v>45958</v>
      </c>
      <c r="B124" s="4">
        <v>45958</v>
      </c>
      <c r="C124" t="s">
        <v>28</v>
      </c>
      <c r="E124" s="2" t="str">
        <f>edit!F124</f>
        <v>bearish</v>
      </c>
      <c r="G124">
        <v>268.73</v>
      </c>
      <c r="H124">
        <v>269.63</v>
      </c>
      <c r="I124">
        <v>267.89</v>
      </c>
      <c r="J124">
        <v>268.74</v>
      </c>
      <c r="K124">
        <v>0.01</v>
      </c>
      <c r="L124" t="s">
        <v>15</v>
      </c>
      <c r="M124">
        <v>7.0000000000000007E-2</v>
      </c>
      <c r="N124">
        <v>0</v>
      </c>
    </row>
    <row r="125" spans="1:14" x14ac:dyDescent="0.35">
      <c r="A125" s="1">
        <v>45958</v>
      </c>
      <c r="B125" s="4">
        <v>45958</v>
      </c>
      <c r="C125" t="s">
        <v>20</v>
      </c>
      <c r="E125" s="2" t="str">
        <f>edit!F125</f>
        <v>bearish</v>
      </c>
      <c r="G125">
        <v>259.14</v>
      </c>
      <c r="H125">
        <v>264.58</v>
      </c>
      <c r="I125">
        <v>257</v>
      </c>
      <c r="J125">
        <v>258.01</v>
      </c>
      <c r="K125">
        <v>-1.1299999999999999</v>
      </c>
      <c r="L125" t="s">
        <v>15</v>
      </c>
      <c r="M125">
        <v>-0.64</v>
      </c>
      <c r="N125">
        <v>-4.4000000000000003E-3</v>
      </c>
    </row>
    <row r="126" spans="1:14" x14ac:dyDescent="0.35">
      <c r="A126" s="1">
        <v>45959</v>
      </c>
      <c r="B126" s="4">
        <v>45959</v>
      </c>
      <c r="C126" t="s">
        <v>13</v>
      </c>
      <c r="E126" s="2" t="str">
        <f>edit!F126</f>
        <v>bullish</v>
      </c>
      <c r="G126">
        <v>543.91999999999996</v>
      </c>
      <c r="H126">
        <v>545.25</v>
      </c>
      <c r="I126">
        <v>535.73</v>
      </c>
      <c r="J126">
        <v>540.54</v>
      </c>
      <c r="K126">
        <v>-3.38</v>
      </c>
      <c r="L126" t="s">
        <v>15</v>
      </c>
      <c r="M126">
        <v>-0.1</v>
      </c>
      <c r="N126">
        <v>-6.1999999999999998E-3</v>
      </c>
    </row>
    <row r="127" spans="1:14" x14ac:dyDescent="0.35">
      <c r="A127" s="1">
        <v>45959</v>
      </c>
      <c r="B127" s="4">
        <v>45959</v>
      </c>
      <c r="C127" t="s">
        <v>27</v>
      </c>
      <c r="E127" s="2" t="str">
        <f>edit!F127</f>
        <v>bullish</v>
      </c>
      <c r="G127">
        <v>207.98</v>
      </c>
      <c r="H127">
        <v>212.19</v>
      </c>
      <c r="I127">
        <v>204.78</v>
      </c>
      <c r="J127">
        <v>207.04</v>
      </c>
      <c r="K127">
        <v>-0.94</v>
      </c>
      <c r="L127" t="s">
        <v>15</v>
      </c>
      <c r="M127">
        <v>2.99</v>
      </c>
      <c r="N127">
        <v>-4.4999999999999997E-3</v>
      </c>
    </row>
    <row r="128" spans="1:14" x14ac:dyDescent="0.35">
      <c r="A128" s="1">
        <v>45959</v>
      </c>
      <c r="B128" s="4">
        <v>45959</v>
      </c>
      <c r="C128" t="s">
        <v>29</v>
      </c>
      <c r="E128" s="2" t="str">
        <f>edit!F128</f>
        <v>bullish</v>
      </c>
      <c r="G128">
        <v>231.67</v>
      </c>
      <c r="H128">
        <v>232.82</v>
      </c>
      <c r="I128">
        <v>227.76</v>
      </c>
      <c r="J128">
        <v>230.3</v>
      </c>
      <c r="K128">
        <v>-1.37</v>
      </c>
      <c r="L128" t="s">
        <v>15</v>
      </c>
      <c r="M128">
        <v>0.46</v>
      </c>
      <c r="N128">
        <v>-5.8999999999999999E-3</v>
      </c>
    </row>
    <row r="129" spans="1:14" x14ac:dyDescent="0.35">
      <c r="A129" s="1">
        <v>45959</v>
      </c>
      <c r="B129" s="4">
        <v>45959</v>
      </c>
      <c r="C129" t="s">
        <v>30</v>
      </c>
      <c r="E129" s="2" t="str">
        <f>edit!F129</f>
        <v>bullish</v>
      </c>
      <c r="G129">
        <v>95.21</v>
      </c>
      <c r="H129">
        <v>97.57</v>
      </c>
      <c r="I129">
        <v>94.5</v>
      </c>
      <c r="J129">
        <v>95.93</v>
      </c>
      <c r="K129">
        <v>0.72</v>
      </c>
      <c r="L129" t="s">
        <v>15</v>
      </c>
      <c r="M129">
        <v>1.04</v>
      </c>
      <c r="N129">
        <v>7.6E-3</v>
      </c>
    </row>
    <row r="130" spans="1:14" x14ac:dyDescent="0.35">
      <c r="A130" s="1">
        <v>45959</v>
      </c>
      <c r="B130" s="4">
        <v>45959</v>
      </c>
      <c r="C130" t="s">
        <v>31</v>
      </c>
      <c r="E130" s="2" t="str">
        <f>edit!F130</f>
        <v>bearish</v>
      </c>
      <c r="G130">
        <v>72.53</v>
      </c>
      <c r="H130">
        <v>72.56</v>
      </c>
      <c r="I130">
        <v>69.16</v>
      </c>
      <c r="J130">
        <v>69.52</v>
      </c>
      <c r="K130">
        <v>-3.01</v>
      </c>
      <c r="L130" t="s">
        <v>15</v>
      </c>
      <c r="M130">
        <v>-4.57</v>
      </c>
      <c r="N130">
        <v>-4.1500000000000002E-2</v>
      </c>
    </row>
    <row r="131" spans="1:14" x14ac:dyDescent="0.35">
      <c r="A131" s="1">
        <v>45960</v>
      </c>
      <c r="B131" s="4">
        <v>45960</v>
      </c>
      <c r="C131" t="s">
        <v>32</v>
      </c>
      <c r="E131" s="2" t="str">
        <f>edit!F131</f>
        <v>bullish</v>
      </c>
      <c r="G131">
        <v>926.73</v>
      </c>
      <c r="H131">
        <v>964.83</v>
      </c>
      <c r="I131">
        <v>896.93</v>
      </c>
      <c r="J131">
        <v>934.68</v>
      </c>
      <c r="K131">
        <v>7.95</v>
      </c>
      <c r="L131" t="s">
        <v>15</v>
      </c>
      <c r="M131">
        <v>2.52</v>
      </c>
      <c r="N131">
        <v>8.6E-3</v>
      </c>
    </row>
    <row r="132" spans="1:14" x14ac:dyDescent="0.35">
      <c r="A132" s="1">
        <v>45960</v>
      </c>
      <c r="B132" s="4">
        <v>45960</v>
      </c>
      <c r="C132" t="s">
        <v>33</v>
      </c>
      <c r="E132" s="2" t="str">
        <f>edit!F132</f>
        <v>bearish</v>
      </c>
      <c r="G132">
        <v>312.10000000000002</v>
      </c>
      <c r="H132">
        <v>326.70999999999998</v>
      </c>
      <c r="I132">
        <v>301.26</v>
      </c>
      <c r="J132">
        <v>305.07</v>
      </c>
      <c r="K132">
        <v>-7.03</v>
      </c>
      <c r="L132" t="s">
        <v>15</v>
      </c>
      <c r="M132">
        <v>-13.81</v>
      </c>
      <c r="N132">
        <v>-2.2499999999999999E-2</v>
      </c>
    </row>
    <row r="133" spans="1:14" x14ac:dyDescent="0.35">
      <c r="A133" s="1">
        <v>45960</v>
      </c>
      <c r="B133" s="4">
        <v>45960</v>
      </c>
      <c r="C133" t="s">
        <v>13</v>
      </c>
      <c r="E133" s="2" t="str">
        <f>edit!F133</f>
        <v>bullish</v>
      </c>
      <c r="G133">
        <v>529.49</v>
      </c>
      <c r="H133">
        <v>533.97</v>
      </c>
      <c r="I133">
        <v>521.14</v>
      </c>
      <c r="J133">
        <v>524.78</v>
      </c>
      <c r="K133">
        <v>-4.71</v>
      </c>
      <c r="L133" t="s">
        <v>15</v>
      </c>
      <c r="M133">
        <v>-2.92</v>
      </c>
      <c r="N133">
        <v>-8.8999999999999999E-3</v>
      </c>
    </row>
    <row r="134" spans="1:14" x14ac:dyDescent="0.35">
      <c r="A134" s="1">
        <v>45960</v>
      </c>
      <c r="B134" s="4">
        <v>45960</v>
      </c>
      <c r="C134" t="s">
        <v>34</v>
      </c>
      <c r="E134" s="2" t="str">
        <f>edit!F134</f>
        <v>bearish</v>
      </c>
      <c r="G134">
        <v>81.64</v>
      </c>
      <c r="H134">
        <v>85.43</v>
      </c>
      <c r="I134">
        <v>80.67</v>
      </c>
      <c r="J134">
        <v>82.55</v>
      </c>
      <c r="K134">
        <v>0.91</v>
      </c>
      <c r="L134" t="s">
        <v>15</v>
      </c>
      <c r="M134">
        <v>-1.21</v>
      </c>
      <c r="N134">
        <v>1.11E-2</v>
      </c>
    </row>
    <row r="135" spans="1:14" x14ac:dyDescent="0.35">
      <c r="A135" s="1">
        <v>45960</v>
      </c>
      <c r="B135" s="4">
        <v>45960</v>
      </c>
      <c r="C135" t="s">
        <v>35</v>
      </c>
      <c r="E135" s="2" t="str">
        <f>edit!F135</f>
        <v>bullish</v>
      </c>
      <c r="G135">
        <v>577.89</v>
      </c>
      <c r="H135">
        <v>593.77</v>
      </c>
      <c r="I135">
        <v>575.77</v>
      </c>
      <c r="J135">
        <v>583.15</v>
      </c>
      <c r="K135">
        <v>5.26</v>
      </c>
      <c r="L135" t="s">
        <v>15</v>
      </c>
      <c r="M135">
        <v>-0.4</v>
      </c>
      <c r="N135">
        <v>9.1000000000000004E-3</v>
      </c>
    </row>
    <row r="136" spans="1:14" x14ac:dyDescent="0.35">
      <c r="A136" s="1">
        <v>45961</v>
      </c>
      <c r="B136" s="4">
        <v>45961</v>
      </c>
      <c r="C136" t="s">
        <v>29</v>
      </c>
      <c r="E136" s="2" t="str">
        <f>edit!F136</f>
        <v>bullish</v>
      </c>
      <c r="G136">
        <v>250.1</v>
      </c>
      <c r="H136">
        <v>250.5</v>
      </c>
      <c r="I136">
        <v>243.98</v>
      </c>
      <c r="J136">
        <v>244.22</v>
      </c>
      <c r="K136">
        <v>-5.88</v>
      </c>
      <c r="L136" t="s">
        <v>15</v>
      </c>
      <c r="M136">
        <v>9.58</v>
      </c>
      <c r="N136">
        <v>-2.35E-2</v>
      </c>
    </row>
    <row r="137" spans="1:14" x14ac:dyDescent="0.35">
      <c r="A137" s="1">
        <v>45961</v>
      </c>
      <c r="B137" s="4">
        <v>45961</v>
      </c>
      <c r="C137" t="s">
        <v>36</v>
      </c>
      <c r="E137" s="2" t="str">
        <f>edit!F137</f>
        <v>bullish</v>
      </c>
      <c r="G137">
        <v>110.54</v>
      </c>
      <c r="H137">
        <v>113.49</v>
      </c>
      <c r="I137">
        <v>110.2</v>
      </c>
      <c r="J137">
        <v>111.89</v>
      </c>
      <c r="K137">
        <v>1.35</v>
      </c>
      <c r="L137" t="s">
        <v>15</v>
      </c>
      <c r="M137">
        <v>2.74</v>
      </c>
      <c r="N137">
        <v>1.2200000000000001E-2</v>
      </c>
    </row>
    <row r="138" spans="1:14" x14ac:dyDescent="0.35">
      <c r="A138" s="1">
        <v>45961</v>
      </c>
      <c r="B138" s="4">
        <v>45961</v>
      </c>
      <c r="C138" t="s">
        <v>37</v>
      </c>
      <c r="E138" s="2" t="str">
        <f>edit!F138</f>
        <v>bearish</v>
      </c>
      <c r="G138">
        <v>118.6</v>
      </c>
      <c r="H138">
        <v>119.85</v>
      </c>
      <c r="I138">
        <v>111.2</v>
      </c>
      <c r="J138">
        <v>113.72</v>
      </c>
      <c r="K138">
        <v>-4.88</v>
      </c>
      <c r="L138" t="s">
        <v>15</v>
      </c>
      <c r="M138">
        <v>0.64</v>
      </c>
      <c r="N138">
        <v>-4.1099999999999998E-2</v>
      </c>
    </row>
    <row r="139" spans="1:14" x14ac:dyDescent="0.35">
      <c r="A139" s="1">
        <v>45961</v>
      </c>
      <c r="B139" s="4">
        <v>45961</v>
      </c>
      <c r="C139" t="s">
        <v>38</v>
      </c>
      <c r="E139" s="2" t="str">
        <f>edit!F139</f>
        <v>bearish</v>
      </c>
      <c r="G139">
        <v>97.13</v>
      </c>
      <c r="H139">
        <v>98</v>
      </c>
      <c r="I139">
        <v>94.62</v>
      </c>
      <c r="J139">
        <v>96.69</v>
      </c>
      <c r="K139">
        <v>-0.44</v>
      </c>
      <c r="L139" t="s">
        <v>15</v>
      </c>
      <c r="M139">
        <v>-0.94</v>
      </c>
      <c r="N139">
        <v>-4.4999999999999997E-3</v>
      </c>
    </row>
    <row r="140" spans="1:14" x14ac:dyDescent="0.35">
      <c r="A140" s="1">
        <v>45961</v>
      </c>
      <c r="B140" s="4">
        <v>45961</v>
      </c>
      <c r="C140" t="s">
        <v>35</v>
      </c>
      <c r="E140" s="2" t="str">
        <f>edit!F140</f>
        <v>bullish</v>
      </c>
      <c r="G140">
        <v>584.03</v>
      </c>
      <c r="H140">
        <v>587.04999999999995</v>
      </c>
      <c r="I140">
        <v>571.35</v>
      </c>
      <c r="J140">
        <v>577.26</v>
      </c>
      <c r="K140">
        <v>-6.77</v>
      </c>
      <c r="L140" t="s">
        <v>15</v>
      </c>
      <c r="M140">
        <v>-1.01</v>
      </c>
      <c r="N140">
        <v>-1.1599999999999999E-2</v>
      </c>
    </row>
    <row r="141" spans="1:14" x14ac:dyDescent="0.35">
      <c r="A141" s="1">
        <v>45962</v>
      </c>
      <c r="B141" s="4">
        <v>45962</v>
      </c>
      <c r="C141" t="s">
        <v>29</v>
      </c>
      <c r="E141" s="2" t="str">
        <f>edit!F141</f>
        <v>bearish</v>
      </c>
      <c r="G141">
        <v>250.1</v>
      </c>
      <c r="H141">
        <v>250.5</v>
      </c>
      <c r="I141">
        <v>243.98</v>
      </c>
      <c r="J141">
        <v>244.22</v>
      </c>
      <c r="K141">
        <v>-5.88</v>
      </c>
      <c r="L141" t="s">
        <v>15</v>
      </c>
      <c r="M141">
        <v>9.58</v>
      </c>
      <c r="N141">
        <v>-2.35E-2</v>
      </c>
    </row>
    <row r="142" spans="1:14" x14ac:dyDescent="0.35">
      <c r="A142" s="1">
        <v>45962</v>
      </c>
      <c r="B142" s="4">
        <v>45962</v>
      </c>
      <c r="C142" t="s">
        <v>39</v>
      </c>
      <c r="E142" s="2" t="str">
        <f>edit!F142</f>
        <v>bearish</v>
      </c>
      <c r="G142">
        <v>206.38</v>
      </c>
      <c r="H142">
        <v>212.22</v>
      </c>
      <c r="I142">
        <v>205.2</v>
      </c>
      <c r="J142">
        <v>209.12</v>
      </c>
      <c r="K142">
        <v>2.74</v>
      </c>
      <c r="L142" t="s">
        <v>15</v>
      </c>
      <c r="M142">
        <v>1.33</v>
      </c>
      <c r="N142">
        <v>1.3299999999999999E-2</v>
      </c>
    </row>
    <row r="143" spans="1:14" x14ac:dyDescent="0.35">
      <c r="A143" s="1">
        <v>45962</v>
      </c>
      <c r="B143" s="4">
        <v>45962</v>
      </c>
      <c r="C143" t="s">
        <v>37</v>
      </c>
      <c r="E143" s="2" t="str">
        <f>edit!F143</f>
        <v>bullish</v>
      </c>
      <c r="G143">
        <v>118.6</v>
      </c>
      <c r="H143">
        <v>119.85</v>
      </c>
      <c r="I143">
        <v>111.2</v>
      </c>
      <c r="J143">
        <v>113.72</v>
      </c>
      <c r="K143">
        <v>-4.88</v>
      </c>
      <c r="L143" t="s">
        <v>15</v>
      </c>
      <c r="M143">
        <v>0.64</v>
      </c>
      <c r="N143">
        <v>-4.1099999999999998E-2</v>
      </c>
    </row>
    <row r="144" spans="1:14" x14ac:dyDescent="0.35">
      <c r="A144" s="1">
        <v>45962</v>
      </c>
      <c r="B144" s="4">
        <v>45962</v>
      </c>
      <c r="C144" t="s">
        <v>13</v>
      </c>
      <c r="E144" s="2" t="str">
        <f>edit!F144</f>
        <v>bullish</v>
      </c>
      <c r="G144">
        <v>527.89</v>
      </c>
      <c r="H144">
        <v>528.33000000000004</v>
      </c>
      <c r="I144">
        <v>514.14</v>
      </c>
      <c r="J144">
        <v>516.84</v>
      </c>
      <c r="K144">
        <v>-11.05</v>
      </c>
      <c r="L144" t="s">
        <v>15</v>
      </c>
      <c r="M144">
        <v>-1.51</v>
      </c>
      <c r="N144">
        <v>-2.0899999999999998E-2</v>
      </c>
    </row>
    <row r="145" spans="1:14" x14ac:dyDescent="0.35">
      <c r="A145" s="1">
        <v>45962</v>
      </c>
      <c r="B145" s="4">
        <v>45962</v>
      </c>
      <c r="C145" t="s">
        <v>36</v>
      </c>
      <c r="E145" s="2" t="str">
        <f>edit!F145</f>
        <v>bearish</v>
      </c>
      <c r="G145">
        <v>110.54</v>
      </c>
      <c r="H145">
        <v>113.49</v>
      </c>
      <c r="I145">
        <v>110.2</v>
      </c>
      <c r="J145">
        <v>111.89</v>
      </c>
      <c r="K145">
        <v>1.35</v>
      </c>
      <c r="L145" t="s">
        <v>15</v>
      </c>
      <c r="M145">
        <v>2.74</v>
      </c>
      <c r="N145">
        <v>1.2200000000000001E-2</v>
      </c>
    </row>
    <row r="146" spans="1:14" x14ac:dyDescent="0.35">
      <c r="A146" s="1">
        <v>45962</v>
      </c>
      <c r="B146" s="4">
        <v>45962</v>
      </c>
      <c r="C146" t="s">
        <v>29</v>
      </c>
      <c r="E146" s="2" t="str">
        <f>edit!F146</f>
        <v>bearish</v>
      </c>
      <c r="G146">
        <v>250.1</v>
      </c>
      <c r="H146">
        <v>250.5</v>
      </c>
      <c r="I146">
        <v>243.98</v>
      </c>
      <c r="J146">
        <v>244.22</v>
      </c>
      <c r="K146">
        <v>-5.88</v>
      </c>
      <c r="L146" t="s">
        <v>15</v>
      </c>
      <c r="M146">
        <v>9.58</v>
      </c>
      <c r="N146">
        <v>-2.35E-2</v>
      </c>
    </row>
    <row r="147" spans="1:14" x14ac:dyDescent="0.35">
      <c r="A147" s="1">
        <v>45962</v>
      </c>
      <c r="B147" s="4">
        <v>45962</v>
      </c>
      <c r="C147" t="s">
        <v>39</v>
      </c>
      <c r="E147" s="2" t="str">
        <f>edit!F147</f>
        <v>bearish</v>
      </c>
      <c r="G147">
        <v>206.38</v>
      </c>
      <c r="H147">
        <v>212.22</v>
      </c>
      <c r="I147">
        <v>205.2</v>
      </c>
      <c r="J147">
        <v>209.12</v>
      </c>
      <c r="K147">
        <v>2.74</v>
      </c>
      <c r="L147" t="s">
        <v>15</v>
      </c>
      <c r="M147">
        <v>1.33</v>
      </c>
      <c r="N147">
        <v>1.3299999999999999E-2</v>
      </c>
    </row>
    <row r="148" spans="1:14" x14ac:dyDescent="0.35">
      <c r="A148" s="1">
        <v>45962</v>
      </c>
      <c r="B148" s="4">
        <v>45962</v>
      </c>
      <c r="C148" t="s">
        <v>37</v>
      </c>
      <c r="E148" s="2" t="str">
        <f>edit!F148</f>
        <v>bullish</v>
      </c>
      <c r="G148">
        <v>118.6</v>
      </c>
      <c r="H148">
        <v>119.85</v>
      </c>
      <c r="I148">
        <v>111.2</v>
      </c>
      <c r="J148">
        <v>113.72</v>
      </c>
      <c r="K148">
        <v>-4.88</v>
      </c>
      <c r="L148" t="s">
        <v>15</v>
      </c>
      <c r="M148">
        <v>0.64</v>
      </c>
      <c r="N148">
        <v>-4.1099999999999998E-2</v>
      </c>
    </row>
    <row r="149" spans="1:14" x14ac:dyDescent="0.35">
      <c r="A149" s="1">
        <v>45962</v>
      </c>
      <c r="B149" s="4">
        <v>45962</v>
      </c>
      <c r="C149" t="s">
        <v>13</v>
      </c>
      <c r="E149" s="2" t="str">
        <f>edit!F149</f>
        <v>bullish</v>
      </c>
      <c r="G149">
        <v>527.89</v>
      </c>
      <c r="H149">
        <v>528.33000000000004</v>
      </c>
      <c r="I149">
        <v>514.14</v>
      </c>
      <c r="J149">
        <v>516.84</v>
      </c>
      <c r="K149">
        <v>-11.05</v>
      </c>
      <c r="L149" t="s">
        <v>15</v>
      </c>
      <c r="M149">
        <v>-1.51</v>
      </c>
      <c r="N149">
        <v>-2.0899999999999998E-2</v>
      </c>
    </row>
    <row r="150" spans="1:14" x14ac:dyDescent="0.35">
      <c r="A150" s="1">
        <v>45962</v>
      </c>
      <c r="B150" s="4">
        <v>45962</v>
      </c>
      <c r="C150" t="s">
        <v>36</v>
      </c>
      <c r="E150" s="2" t="str">
        <f>edit!F150</f>
        <v>bearish</v>
      </c>
      <c r="G150">
        <v>110.54</v>
      </c>
      <c r="H150">
        <v>113.49</v>
      </c>
      <c r="I150">
        <v>110.2</v>
      </c>
      <c r="J150">
        <v>111.89</v>
      </c>
      <c r="K150">
        <v>1.35</v>
      </c>
      <c r="L150" t="s">
        <v>15</v>
      </c>
      <c r="M150">
        <v>2.74</v>
      </c>
      <c r="N150">
        <v>1.2200000000000001E-2</v>
      </c>
    </row>
    <row r="151" spans="1:14" x14ac:dyDescent="0.35">
      <c r="A151" s="1">
        <v>45962</v>
      </c>
      <c r="B151" s="4">
        <v>45962</v>
      </c>
      <c r="C151" t="s">
        <v>29</v>
      </c>
      <c r="E151" s="2" t="str">
        <f>edit!F151</f>
        <v>bearish</v>
      </c>
      <c r="G151">
        <v>250.1</v>
      </c>
      <c r="H151">
        <v>250.5</v>
      </c>
      <c r="I151">
        <v>243.98</v>
      </c>
      <c r="J151">
        <v>244.22</v>
      </c>
      <c r="K151">
        <v>-5.88</v>
      </c>
      <c r="L151" t="s">
        <v>15</v>
      </c>
      <c r="M151">
        <v>9.58</v>
      </c>
      <c r="N151">
        <v>-2.35E-2</v>
      </c>
    </row>
    <row r="152" spans="1:14" x14ac:dyDescent="0.35">
      <c r="A152" s="1">
        <v>45962</v>
      </c>
      <c r="B152" s="4">
        <v>45962</v>
      </c>
      <c r="C152" t="s">
        <v>27</v>
      </c>
      <c r="E152" s="2" t="str">
        <f>edit!F152</f>
        <v>bullish</v>
      </c>
      <c r="G152">
        <v>206.45</v>
      </c>
      <c r="H152">
        <v>207.97</v>
      </c>
      <c r="I152">
        <v>202.07</v>
      </c>
      <c r="J152">
        <v>202.49</v>
      </c>
      <c r="K152">
        <v>-3.96</v>
      </c>
      <c r="L152" t="s">
        <v>15</v>
      </c>
      <c r="M152">
        <v>-0.2</v>
      </c>
      <c r="N152">
        <v>-1.9199999999999998E-2</v>
      </c>
    </row>
    <row r="153" spans="1:14" x14ac:dyDescent="0.35">
      <c r="A153" s="1">
        <v>45962</v>
      </c>
      <c r="B153" s="4">
        <v>45962</v>
      </c>
      <c r="C153" t="s">
        <v>40</v>
      </c>
      <c r="E153" s="2" t="str">
        <f>edit!F153</f>
        <v>bullish</v>
      </c>
      <c r="G153">
        <v>162.55000000000001</v>
      </c>
      <c r="H153">
        <v>164.06</v>
      </c>
      <c r="I153">
        <v>156.6</v>
      </c>
      <c r="J153">
        <v>157.46</v>
      </c>
      <c r="K153">
        <v>-5.09</v>
      </c>
      <c r="L153" t="s">
        <v>15</v>
      </c>
      <c r="M153">
        <v>-2.2000000000000002</v>
      </c>
      <c r="N153">
        <v>-3.1300000000000001E-2</v>
      </c>
    </row>
    <row r="154" spans="1:14" x14ac:dyDescent="0.35">
      <c r="A154" s="1">
        <v>45962</v>
      </c>
      <c r="B154" s="4">
        <v>45962</v>
      </c>
      <c r="C154" t="s">
        <v>36</v>
      </c>
      <c r="E154" s="2" t="str">
        <f>edit!F154</f>
        <v>bearish</v>
      </c>
      <c r="G154">
        <v>110.54</v>
      </c>
      <c r="H154">
        <v>113.49</v>
      </c>
      <c r="I154">
        <v>110.2</v>
      </c>
      <c r="J154">
        <v>111.89</v>
      </c>
      <c r="K154">
        <v>1.35</v>
      </c>
      <c r="L154" t="s">
        <v>15</v>
      </c>
      <c r="M154">
        <v>2.74</v>
      </c>
      <c r="N154">
        <v>1.2200000000000001E-2</v>
      </c>
    </row>
    <row r="155" spans="1:14" x14ac:dyDescent="0.35">
      <c r="A155" s="1">
        <v>45962</v>
      </c>
      <c r="B155" s="4">
        <v>45962</v>
      </c>
      <c r="C155" t="s">
        <v>38</v>
      </c>
      <c r="E155" s="2" t="str">
        <f>edit!F155</f>
        <v>neutral</v>
      </c>
      <c r="G155">
        <v>97.13</v>
      </c>
      <c r="H155">
        <v>98</v>
      </c>
      <c r="I155">
        <v>94.62</v>
      </c>
      <c r="J155">
        <v>96.69</v>
      </c>
      <c r="K155">
        <v>-0.44</v>
      </c>
      <c r="L155" t="s">
        <v>15</v>
      </c>
      <c r="M155">
        <v>-0.94</v>
      </c>
      <c r="N155">
        <v>-4.4999999999999997E-3</v>
      </c>
    </row>
    <row r="156" spans="1:14" x14ac:dyDescent="0.35">
      <c r="A156" s="1">
        <v>45963</v>
      </c>
      <c r="B156" s="4">
        <v>45963</v>
      </c>
      <c r="C156" t="s">
        <v>27</v>
      </c>
      <c r="E156" s="2" t="str">
        <f>edit!F156</f>
        <v>bullish</v>
      </c>
      <c r="G156">
        <v>206.45</v>
      </c>
      <c r="H156">
        <v>207.97</v>
      </c>
      <c r="I156">
        <v>202.07</v>
      </c>
      <c r="J156">
        <v>202.49</v>
      </c>
      <c r="K156">
        <v>-3.96</v>
      </c>
      <c r="L156" t="s">
        <v>15</v>
      </c>
      <c r="M156">
        <v>-0.2</v>
      </c>
      <c r="N156">
        <v>-1.9199999999999998E-2</v>
      </c>
    </row>
    <row r="157" spans="1:14" x14ac:dyDescent="0.35">
      <c r="A157" s="1">
        <v>45963</v>
      </c>
      <c r="B157" s="4">
        <v>45963</v>
      </c>
      <c r="C157" t="s">
        <v>29</v>
      </c>
      <c r="E157" s="2" t="str">
        <f>edit!F157</f>
        <v>bullish</v>
      </c>
      <c r="G157">
        <v>250.1</v>
      </c>
      <c r="H157">
        <v>250.5</v>
      </c>
      <c r="I157">
        <v>243.98</v>
      </c>
      <c r="J157">
        <v>244.22</v>
      </c>
      <c r="K157">
        <v>-5.88</v>
      </c>
      <c r="L157" t="s">
        <v>15</v>
      </c>
      <c r="M157">
        <v>9.58</v>
      </c>
      <c r="N157">
        <v>-2.35E-2</v>
      </c>
    </row>
    <row r="158" spans="1:14" x14ac:dyDescent="0.35">
      <c r="A158" s="1">
        <v>45963</v>
      </c>
      <c r="B158" s="4">
        <v>45963</v>
      </c>
      <c r="C158" t="s">
        <v>41</v>
      </c>
      <c r="E158" s="2" t="str">
        <f>edit!F158</f>
        <v>bearish</v>
      </c>
      <c r="G158">
        <v>674.51</v>
      </c>
      <c r="H158">
        <v>674.89</v>
      </c>
      <c r="I158">
        <v>645.57000000000005</v>
      </c>
      <c r="J158">
        <v>648.35</v>
      </c>
      <c r="K158">
        <v>-26.16</v>
      </c>
      <c r="L158" t="s">
        <v>15</v>
      </c>
      <c r="M158">
        <v>-2.72</v>
      </c>
      <c r="N158">
        <v>-3.8800000000000001E-2</v>
      </c>
    </row>
    <row r="159" spans="1:14" x14ac:dyDescent="0.35">
      <c r="A159" s="1">
        <v>45963</v>
      </c>
      <c r="B159" s="4">
        <v>45963</v>
      </c>
      <c r="C159" t="s">
        <v>28</v>
      </c>
      <c r="E159" s="2" t="str">
        <f>edit!F159</f>
        <v>bullish</v>
      </c>
      <c r="G159">
        <v>276.72000000000003</v>
      </c>
      <c r="H159">
        <v>277.05</v>
      </c>
      <c r="I159">
        <v>268.89999999999998</v>
      </c>
      <c r="J159">
        <v>270.11</v>
      </c>
      <c r="K159">
        <v>-6.61</v>
      </c>
      <c r="L159" t="s">
        <v>15</v>
      </c>
      <c r="M159">
        <v>-0.38</v>
      </c>
      <c r="N159">
        <v>-2.3900000000000001E-2</v>
      </c>
    </row>
    <row r="160" spans="1:14" x14ac:dyDescent="0.35">
      <c r="A160" s="1">
        <v>45963</v>
      </c>
      <c r="B160" s="4">
        <v>45963</v>
      </c>
      <c r="C160" t="s">
        <v>42</v>
      </c>
      <c r="E160" s="2" t="str">
        <f>edit!F160</f>
        <v>bullish</v>
      </c>
      <c r="G160">
        <v>178.52</v>
      </c>
      <c r="H160">
        <v>182.15</v>
      </c>
      <c r="I160">
        <v>176.83</v>
      </c>
      <c r="J160">
        <v>180.9</v>
      </c>
      <c r="K160">
        <v>2.38</v>
      </c>
      <c r="L160" t="s">
        <v>15</v>
      </c>
      <c r="M160">
        <v>2.0499999999999998</v>
      </c>
      <c r="N160">
        <v>1.3299999999999999E-2</v>
      </c>
    </row>
    <row r="161" spans="1:14" x14ac:dyDescent="0.35">
      <c r="A161" s="1">
        <v>45963</v>
      </c>
      <c r="B161" s="4">
        <v>45963</v>
      </c>
      <c r="C161" t="s">
        <v>27</v>
      </c>
      <c r="E161" s="2" t="str">
        <f>edit!F161</f>
        <v>bullish</v>
      </c>
      <c r="G161">
        <v>206.45</v>
      </c>
      <c r="H161">
        <v>207.97</v>
      </c>
      <c r="I161">
        <v>202.07</v>
      </c>
      <c r="J161">
        <v>202.49</v>
      </c>
      <c r="K161">
        <v>-3.96</v>
      </c>
      <c r="L161" t="s">
        <v>15</v>
      </c>
      <c r="M161">
        <v>-0.2</v>
      </c>
      <c r="N161">
        <v>-1.9199999999999998E-2</v>
      </c>
    </row>
    <row r="162" spans="1:14" x14ac:dyDescent="0.35">
      <c r="A162" s="1">
        <v>45963</v>
      </c>
      <c r="B162" s="4">
        <v>45963</v>
      </c>
      <c r="C162" t="s">
        <v>29</v>
      </c>
      <c r="E162" s="2" t="str">
        <f>edit!F162</f>
        <v>bullish</v>
      </c>
      <c r="G162">
        <v>250.1</v>
      </c>
      <c r="H162">
        <v>250.5</v>
      </c>
      <c r="I162">
        <v>243.98</v>
      </c>
      <c r="J162">
        <v>244.22</v>
      </c>
      <c r="K162">
        <v>-5.88</v>
      </c>
      <c r="L162" t="s">
        <v>15</v>
      </c>
      <c r="M162">
        <v>9.58</v>
      </c>
      <c r="N162">
        <v>-2.35E-2</v>
      </c>
    </row>
    <row r="163" spans="1:14" x14ac:dyDescent="0.35">
      <c r="A163" s="1">
        <v>45963</v>
      </c>
      <c r="B163" s="4">
        <v>45963</v>
      </c>
      <c r="C163" t="s">
        <v>41</v>
      </c>
      <c r="E163" s="2" t="str">
        <f>edit!F163</f>
        <v>bearish</v>
      </c>
      <c r="G163">
        <v>674.51</v>
      </c>
      <c r="H163">
        <v>674.89</v>
      </c>
      <c r="I163">
        <v>645.57000000000005</v>
      </c>
      <c r="J163">
        <v>648.35</v>
      </c>
      <c r="K163">
        <v>-26.16</v>
      </c>
      <c r="L163" t="s">
        <v>15</v>
      </c>
      <c r="M163">
        <v>-2.72</v>
      </c>
      <c r="N163">
        <v>-3.8800000000000001E-2</v>
      </c>
    </row>
    <row r="164" spans="1:14" x14ac:dyDescent="0.35">
      <c r="A164" s="1">
        <v>45963</v>
      </c>
      <c r="B164" s="4">
        <v>45963</v>
      </c>
      <c r="C164" t="s">
        <v>28</v>
      </c>
      <c r="E164" s="2" t="str">
        <f>edit!F164</f>
        <v>bullish</v>
      </c>
      <c r="G164">
        <v>276.72000000000003</v>
      </c>
      <c r="H164">
        <v>277.05</v>
      </c>
      <c r="I164">
        <v>268.89999999999998</v>
      </c>
      <c r="J164">
        <v>270.11</v>
      </c>
      <c r="K164">
        <v>-6.61</v>
      </c>
      <c r="L164" t="s">
        <v>15</v>
      </c>
      <c r="M164">
        <v>-0.38</v>
      </c>
      <c r="N164">
        <v>-2.3900000000000001E-2</v>
      </c>
    </row>
    <row r="165" spans="1:14" x14ac:dyDescent="0.35">
      <c r="A165" s="1">
        <v>45963</v>
      </c>
      <c r="B165" s="4">
        <v>45963</v>
      </c>
      <c r="C165" t="s">
        <v>42</v>
      </c>
      <c r="E165" s="2" t="str">
        <f>edit!F165</f>
        <v>bullish</v>
      </c>
      <c r="G165">
        <v>178.52</v>
      </c>
      <c r="H165">
        <v>182.15</v>
      </c>
      <c r="I165">
        <v>176.83</v>
      </c>
      <c r="J165">
        <v>180.9</v>
      </c>
      <c r="K165">
        <v>2.38</v>
      </c>
      <c r="L165" t="s">
        <v>15</v>
      </c>
      <c r="M165">
        <v>2.0499999999999998</v>
      </c>
      <c r="N165">
        <v>1.3299999999999999E-2</v>
      </c>
    </row>
    <row r="166" spans="1:14" x14ac:dyDescent="0.35">
      <c r="A166" s="1">
        <v>45964</v>
      </c>
      <c r="B166" s="4">
        <v>45964</v>
      </c>
      <c r="C166" t="s">
        <v>27</v>
      </c>
      <c r="E166" s="2" t="str">
        <f>edit!F166</f>
        <v>bullish</v>
      </c>
      <c r="G166">
        <v>208.08</v>
      </c>
      <c r="H166">
        <v>211.34</v>
      </c>
      <c r="I166">
        <v>205.56</v>
      </c>
      <c r="J166">
        <v>206.88</v>
      </c>
      <c r="K166">
        <v>-1.2</v>
      </c>
      <c r="L166" t="s">
        <v>15</v>
      </c>
      <c r="M166">
        <v>2.17</v>
      </c>
      <c r="N166">
        <v>-5.7999999999999996E-3</v>
      </c>
    </row>
    <row r="167" spans="1:14" x14ac:dyDescent="0.35">
      <c r="A167" s="1">
        <v>45964</v>
      </c>
      <c r="B167" s="4">
        <v>45964</v>
      </c>
      <c r="C167" t="s">
        <v>29</v>
      </c>
      <c r="E167" s="2" t="str">
        <f>edit!F167</f>
        <v>bullish</v>
      </c>
      <c r="G167">
        <v>255.36</v>
      </c>
      <c r="H167">
        <v>258.60000000000002</v>
      </c>
      <c r="I167">
        <v>252.9</v>
      </c>
      <c r="J167">
        <v>254</v>
      </c>
      <c r="K167">
        <v>-1.36</v>
      </c>
      <c r="L167" t="s">
        <v>15</v>
      </c>
      <c r="M167">
        <v>4</v>
      </c>
      <c r="N167">
        <v>-5.3E-3</v>
      </c>
    </row>
    <row r="168" spans="1:14" x14ac:dyDescent="0.35">
      <c r="A168" s="1">
        <v>45964</v>
      </c>
      <c r="B168" s="4">
        <v>45964</v>
      </c>
      <c r="C168" t="s">
        <v>13</v>
      </c>
      <c r="E168" s="2" t="str">
        <f>edit!F168</f>
        <v>bullish</v>
      </c>
      <c r="G168">
        <v>518.84</v>
      </c>
      <c r="H168">
        <v>523.98</v>
      </c>
      <c r="I168">
        <v>513.63</v>
      </c>
      <c r="J168">
        <v>516.05999999999995</v>
      </c>
      <c r="K168">
        <v>-2.78</v>
      </c>
      <c r="L168" t="s">
        <v>15</v>
      </c>
      <c r="M168">
        <v>-0.15</v>
      </c>
      <c r="N168">
        <v>-5.4000000000000003E-3</v>
      </c>
    </row>
    <row r="169" spans="1:14" x14ac:dyDescent="0.35">
      <c r="A169" s="1">
        <v>45964</v>
      </c>
      <c r="B169" s="4">
        <v>45964</v>
      </c>
      <c r="C169" t="s">
        <v>28</v>
      </c>
      <c r="E169" s="2" t="str">
        <f>edit!F169</f>
        <v>bearish</v>
      </c>
      <c r="G169">
        <v>270.16000000000003</v>
      </c>
      <c r="H169">
        <v>270.58999999999997</v>
      </c>
      <c r="I169">
        <v>265.99</v>
      </c>
      <c r="J169">
        <v>268.79000000000002</v>
      </c>
      <c r="K169">
        <v>-1.37</v>
      </c>
      <c r="L169" t="s">
        <v>15</v>
      </c>
      <c r="M169">
        <v>-0.49</v>
      </c>
      <c r="N169">
        <v>-5.1000000000000004E-3</v>
      </c>
    </row>
    <row r="170" spans="1:14" x14ac:dyDescent="0.35">
      <c r="A170" s="1">
        <v>45964</v>
      </c>
      <c r="B170" s="4">
        <v>45964</v>
      </c>
      <c r="C170" t="s">
        <v>43</v>
      </c>
      <c r="E170" s="2" t="str">
        <f>edit!F170</f>
        <v>bullish</v>
      </c>
      <c r="G170">
        <v>282.42</v>
      </c>
      <c r="H170">
        <v>285.94</v>
      </c>
      <c r="I170">
        <v>280.37</v>
      </c>
      <c r="J170">
        <v>284.12</v>
      </c>
      <c r="K170">
        <v>1.7</v>
      </c>
      <c r="L170" t="s">
        <v>15</v>
      </c>
      <c r="M170">
        <v>0.82</v>
      </c>
      <c r="N170">
        <v>6.0000000000000001E-3</v>
      </c>
    </row>
    <row r="171" spans="1:14" x14ac:dyDescent="0.35">
      <c r="A171" s="1">
        <v>45965</v>
      </c>
      <c r="B171" s="4">
        <v>45965</v>
      </c>
      <c r="C171" t="s">
        <v>20</v>
      </c>
      <c r="E171" s="2" t="str">
        <f>edit!F171</f>
        <v>bullish</v>
      </c>
      <c r="G171">
        <v>250.35</v>
      </c>
      <c r="H171">
        <v>257.38</v>
      </c>
      <c r="I171">
        <v>247.39</v>
      </c>
      <c r="J171">
        <v>250.05</v>
      </c>
      <c r="K171">
        <v>-0.3</v>
      </c>
      <c r="L171" t="s">
        <v>15</v>
      </c>
      <c r="M171">
        <v>-3.7</v>
      </c>
      <c r="N171">
        <v>-1.1999999999999999E-3</v>
      </c>
    </row>
    <row r="172" spans="1:14" x14ac:dyDescent="0.35">
      <c r="A172" s="1">
        <v>45965</v>
      </c>
      <c r="B172" s="4">
        <v>45965</v>
      </c>
      <c r="C172" t="s">
        <v>27</v>
      </c>
      <c r="E172" s="2" t="str">
        <f>edit!F172</f>
        <v>bullish</v>
      </c>
      <c r="G172">
        <v>203</v>
      </c>
      <c r="H172">
        <v>203.97</v>
      </c>
      <c r="I172">
        <v>197.93</v>
      </c>
      <c r="J172">
        <v>198.69</v>
      </c>
      <c r="K172">
        <v>-4.3099999999999996</v>
      </c>
      <c r="L172" t="s">
        <v>15</v>
      </c>
      <c r="M172">
        <v>-3.96</v>
      </c>
      <c r="N172">
        <v>-2.12E-2</v>
      </c>
    </row>
    <row r="173" spans="1:14" x14ac:dyDescent="0.35">
      <c r="A173" s="1">
        <v>45965</v>
      </c>
      <c r="B173" s="4">
        <v>45965</v>
      </c>
      <c r="C173" t="s">
        <v>29</v>
      </c>
      <c r="E173" s="2" t="str">
        <f>edit!F173</f>
        <v>bearish</v>
      </c>
      <c r="G173">
        <v>250.38</v>
      </c>
      <c r="H173">
        <v>257.01</v>
      </c>
      <c r="I173">
        <v>248.66</v>
      </c>
      <c r="J173">
        <v>249.32</v>
      </c>
      <c r="K173">
        <v>-1.06</v>
      </c>
      <c r="L173" t="s">
        <v>15</v>
      </c>
      <c r="M173">
        <v>-1.84</v>
      </c>
      <c r="N173">
        <v>-4.1999999999999997E-3</v>
      </c>
    </row>
    <row r="174" spans="1:14" x14ac:dyDescent="0.35">
      <c r="A174" s="1">
        <v>45965</v>
      </c>
      <c r="B174" s="4">
        <v>45965</v>
      </c>
      <c r="C174" t="s">
        <v>44</v>
      </c>
      <c r="E174" s="2" t="str">
        <f>edit!F174</f>
        <v>bearish</v>
      </c>
      <c r="G174">
        <v>7.07</v>
      </c>
      <c r="H174">
        <v>7.15</v>
      </c>
      <c r="I174">
        <v>6.95</v>
      </c>
      <c r="J174">
        <v>7.07</v>
      </c>
      <c r="K174">
        <v>0</v>
      </c>
      <c r="L174" t="s">
        <v>15</v>
      </c>
      <c r="M174">
        <v>-2.75</v>
      </c>
      <c r="N174">
        <v>0</v>
      </c>
    </row>
    <row r="175" spans="1:14" x14ac:dyDescent="0.35">
      <c r="A175" s="1">
        <v>45965</v>
      </c>
      <c r="B175" s="4">
        <v>45965</v>
      </c>
      <c r="C175" t="s">
        <v>45</v>
      </c>
      <c r="E175" s="2" t="str">
        <f>edit!F175</f>
        <v>bearish</v>
      </c>
      <c r="G175">
        <v>625.17999999999995</v>
      </c>
      <c r="H175">
        <v>650.58000000000004</v>
      </c>
      <c r="I175">
        <v>603.15</v>
      </c>
      <c r="J175">
        <v>629.6</v>
      </c>
      <c r="K175">
        <v>4.42</v>
      </c>
      <c r="L175" t="s">
        <v>15</v>
      </c>
      <c r="M175">
        <v>-2.25</v>
      </c>
      <c r="N175">
        <v>7.1000000000000004E-3</v>
      </c>
    </row>
    <row r="176" spans="1:14" x14ac:dyDescent="0.35">
      <c r="A176" s="1">
        <v>45966</v>
      </c>
      <c r="B176" s="4">
        <v>45966</v>
      </c>
      <c r="C176" t="s">
        <v>46</v>
      </c>
      <c r="E176" s="2" t="str">
        <f>edit!F176</f>
        <v>bearish</v>
      </c>
      <c r="G176">
        <v>42.79</v>
      </c>
      <c r="H176">
        <v>44.1</v>
      </c>
      <c r="I176">
        <v>40.75</v>
      </c>
      <c r="J176">
        <v>40.799999999999997</v>
      </c>
      <c r="K176">
        <v>-1.99</v>
      </c>
      <c r="L176" t="s">
        <v>15</v>
      </c>
      <c r="M176">
        <v>-5.08</v>
      </c>
      <c r="N176">
        <v>-4.65E-2</v>
      </c>
    </row>
    <row r="177" spans="1:14" x14ac:dyDescent="0.35">
      <c r="A177" s="1">
        <v>45966</v>
      </c>
      <c r="B177" s="4">
        <v>45966</v>
      </c>
      <c r="C177" t="s">
        <v>47</v>
      </c>
      <c r="E177" s="2" t="str">
        <f>edit!F177</f>
        <v>bearish</v>
      </c>
      <c r="G177">
        <v>13.34</v>
      </c>
      <c r="H177">
        <v>15.85</v>
      </c>
      <c r="I177">
        <v>13.26</v>
      </c>
      <c r="J177">
        <v>15.42</v>
      </c>
      <c r="K177">
        <v>2.08</v>
      </c>
      <c r="L177" t="s">
        <v>15</v>
      </c>
      <c r="M177">
        <v>23.36</v>
      </c>
      <c r="N177">
        <v>0.15590000000000001</v>
      </c>
    </row>
    <row r="178" spans="1:14" x14ac:dyDescent="0.35">
      <c r="A178" s="1">
        <v>45966</v>
      </c>
      <c r="B178" s="4">
        <v>45966</v>
      </c>
      <c r="C178" t="s">
        <v>29</v>
      </c>
      <c r="E178" s="2" t="str">
        <f>edit!F178</f>
        <v>bearish</v>
      </c>
      <c r="G178">
        <v>249.03</v>
      </c>
      <c r="H178">
        <v>251</v>
      </c>
      <c r="I178">
        <v>246.16</v>
      </c>
      <c r="J178">
        <v>250.2</v>
      </c>
      <c r="K178">
        <v>1.17</v>
      </c>
      <c r="L178" t="s">
        <v>15</v>
      </c>
      <c r="M178">
        <v>0.35</v>
      </c>
      <c r="N178">
        <v>4.7000000000000002E-3</v>
      </c>
    </row>
    <row r="179" spans="1:14" x14ac:dyDescent="0.35">
      <c r="A179" s="1">
        <v>45966</v>
      </c>
      <c r="B179" s="4">
        <v>45966</v>
      </c>
      <c r="C179" t="s">
        <v>27</v>
      </c>
      <c r="E179" s="2" t="str">
        <f>edit!F179</f>
        <v>bullish</v>
      </c>
      <c r="G179">
        <v>198.77</v>
      </c>
      <c r="H179">
        <v>202.92</v>
      </c>
      <c r="I179">
        <v>194.65</v>
      </c>
      <c r="J179">
        <v>195.21</v>
      </c>
      <c r="K179">
        <v>-3.56</v>
      </c>
      <c r="L179" t="s">
        <v>15</v>
      </c>
      <c r="M179">
        <v>-1.75</v>
      </c>
      <c r="N179">
        <v>-1.7899999999999999E-2</v>
      </c>
    </row>
    <row r="180" spans="1:14" x14ac:dyDescent="0.35">
      <c r="A180" s="1">
        <v>45966</v>
      </c>
      <c r="B180" s="4">
        <v>45966</v>
      </c>
      <c r="C180" t="s">
        <v>20</v>
      </c>
      <c r="E180" s="2" t="str">
        <f>edit!F180</f>
        <v>bullish</v>
      </c>
      <c r="G180">
        <v>243.24</v>
      </c>
      <c r="H180">
        <v>259.64999999999998</v>
      </c>
      <c r="I180">
        <v>242.81</v>
      </c>
      <c r="J180">
        <v>256.33</v>
      </c>
      <c r="K180">
        <v>13.09</v>
      </c>
      <c r="L180" t="s">
        <v>15</v>
      </c>
      <c r="M180">
        <v>2.5099999999999998</v>
      </c>
      <c r="N180">
        <v>5.3800000000000001E-2</v>
      </c>
    </row>
    <row r="181" spans="1:14" x14ac:dyDescent="0.35">
      <c r="A181" s="1">
        <v>45967</v>
      </c>
      <c r="B181" s="4">
        <v>45967</v>
      </c>
      <c r="C181" t="s">
        <v>29</v>
      </c>
      <c r="E181" s="2" t="str">
        <f>edit!F181</f>
        <v>neutral</v>
      </c>
      <c r="G181">
        <v>249.16</v>
      </c>
      <c r="H181">
        <v>250.38</v>
      </c>
      <c r="I181">
        <v>242.17</v>
      </c>
      <c r="J181">
        <v>243.04</v>
      </c>
      <c r="K181">
        <v>-6.12</v>
      </c>
      <c r="L181" t="s">
        <v>15</v>
      </c>
      <c r="M181">
        <v>-2.86</v>
      </c>
      <c r="N181">
        <v>-2.46E-2</v>
      </c>
    </row>
    <row r="182" spans="1:14" x14ac:dyDescent="0.35">
      <c r="A182" s="1">
        <v>45967</v>
      </c>
      <c r="B182" s="4">
        <v>45967</v>
      </c>
      <c r="C182" t="s">
        <v>48</v>
      </c>
      <c r="E182" s="2" t="str">
        <f>edit!F182</f>
        <v>bullish</v>
      </c>
      <c r="G182">
        <v>924.36</v>
      </c>
      <c r="H182">
        <v>925</v>
      </c>
      <c r="I182">
        <v>908.3</v>
      </c>
      <c r="J182">
        <v>923.58</v>
      </c>
      <c r="K182">
        <v>-0.78</v>
      </c>
      <c r="L182" t="s">
        <v>15</v>
      </c>
      <c r="M182">
        <v>-1.22</v>
      </c>
      <c r="N182">
        <v>-8.0000000000000004E-4</v>
      </c>
    </row>
    <row r="183" spans="1:14" x14ac:dyDescent="0.35">
      <c r="A183" s="1">
        <v>45967</v>
      </c>
      <c r="B183" s="4">
        <v>45967</v>
      </c>
      <c r="C183" t="s">
        <v>37</v>
      </c>
      <c r="E183" s="2" t="str">
        <f>edit!F183</f>
        <v>bearish</v>
      </c>
      <c r="G183">
        <v>102</v>
      </c>
      <c r="H183">
        <v>103.98</v>
      </c>
      <c r="I183">
        <v>100.6</v>
      </c>
      <c r="J183">
        <v>101.28</v>
      </c>
      <c r="K183">
        <v>-0.72</v>
      </c>
      <c r="L183" t="s">
        <v>15</v>
      </c>
      <c r="M183">
        <v>-0.94</v>
      </c>
      <c r="N183">
        <v>-7.1000000000000004E-3</v>
      </c>
    </row>
    <row r="184" spans="1:14" x14ac:dyDescent="0.35">
      <c r="A184" s="1">
        <v>45967</v>
      </c>
      <c r="B184" s="4">
        <v>45967</v>
      </c>
      <c r="C184" t="s">
        <v>49</v>
      </c>
      <c r="E184" s="2" t="str">
        <f>edit!F184</f>
        <v>bearish</v>
      </c>
      <c r="G184">
        <v>21.06</v>
      </c>
      <c r="H184">
        <v>22.19</v>
      </c>
      <c r="I184">
        <v>19.95</v>
      </c>
      <c r="J184">
        <v>21.25</v>
      </c>
      <c r="K184">
        <v>0.19</v>
      </c>
      <c r="L184" t="s">
        <v>15</v>
      </c>
      <c r="M184">
        <v>5.83</v>
      </c>
      <c r="N184">
        <v>8.9999999999999993E-3</v>
      </c>
    </row>
    <row r="185" spans="1:14" x14ac:dyDescent="0.35">
      <c r="A185" s="1">
        <v>45967</v>
      </c>
      <c r="B185" s="4">
        <v>45967</v>
      </c>
      <c r="C185" t="s">
        <v>50</v>
      </c>
      <c r="E185" s="2" t="str">
        <f>edit!F185</f>
        <v>bearish</v>
      </c>
      <c r="G185">
        <v>107.59</v>
      </c>
      <c r="H185">
        <v>108.39</v>
      </c>
      <c r="I185">
        <v>104.2</v>
      </c>
      <c r="J185">
        <v>104.82</v>
      </c>
      <c r="K185">
        <v>-2.77</v>
      </c>
      <c r="L185" t="s">
        <v>15</v>
      </c>
      <c r="M185">
        <v>-0.8</v>
      </c>
      <c r="N185">
        <v>-2.5700000000000001E-2</v>
      </c>
    </row>
    <row r="186" spans="1:14" x14ac:dyDescent="0.35">
      <c r="A186" s="1">
        <v>45968</v>
      </c>
      <c r="B186" s="4">
        <v>45968</v>
      </c>
      <c r="C186" t="s">
        <v>51</v>
      </c>
      <c r="E186" s="2" t="str">
        <f>edit!F186</f>
        <v>bearish</v>
      </c>
      <c r="G186">
        <v>246.59</v>
      </c>
      <c r="H186">
        <v>263.76</v>
      </c>
      <c r="I186">
        <v>245.36</v>
      </c>
      <c r="J186">
        <v>257.82</v>
      </c>
      <c r="K186">
        <v>11.23</v>
      </c>
      <c r="L186" t="s">
        <v>15</v>
      </c>
      <c r="M186">
        <v>17.55</v>
      </c>
      <c r="N186">
        <v>4.5499999999999999E-2</v>
      </c>
    </row>
    <row r="187" spans="1:14" x14ac:dyDescent="0.35">
      <c r="A187" s="1">
        <v>45968</v>
      </c>
      <c r="B187" s="4">
        <v>45968</v>
      </c>
      <c r="C187" s="2" t="str">
        <f>edit!C187</f>
        <v>DASH</v>
      </c>
      <c r="D187" s="2"/>
      <c r="E187" s="5" t="str">
        <f>edit!F187</f>
        <v>bullish</v>
      </c>
      <c r="F187" s="2"/>
      <c r="G187" s="2"/>
      <c r="H187" s="2"/>
      <c r="I187" s="2"/>
      <c r="J187" s="2"/>
      <c r="K187" s="2"/>
      <c r="L187" t="s">
        <v>15</v>
      </c>
    </row>
    <row r="188" spans="1:14" x14ac:dyDescent="0.35">
      <c r="A188" s="1">
        <v>45968</v>
      </c>
      <c r="B188" s="4">
        <v>45968</v>
      </c>
      <c r="C188" t="s">
        <v>49</v>
      </c>
      <c r="E188" s="2" t="str">
        <f>edit!F188</f>
        <v>bearish</v>
      </c>
      <c r="G188">
        <v>21.06</v>
      </c>
      <c r="H188">
        <v>22.1</v>
      </c>
      <c r="I188">
        <v>20.52</v>
      </c>
      <c r="J188">
        <v>22.04</v>
      </c>
      <c r="K188">
        <v>0.98</v>
      </c>
      <c r="L188" t="s">
        <v>15</v>
      </c>
      <c r="M188">
        <v>3.72</v>
      </c>
      <c r="N188">
        <v>4.65E-2</v>
      </c>
    </row>
    <row r="189" spans="1:14" x14ac:dyDescent="0.35">
      <c r="A189" s="1">
        <v>45968</v>
      </c>
      <c r="B189" s="4">
        <v>45968</v>
      </c>
      <c r="C189" t="s">
        <v>29</v>
      </c>
      <c r="E189" s="2" t="str">
        <f>edit!F189</f>
        <v>bullish</v>
      </c>
      <c r="G189">
        <v>242.9</v>
      </c>
      <c r="H189">
        <v>244.9</v>
      </c>
      <c r="I189">
        <v>238.49</v>
      </c>
      <c r="J189">
        <v>244.41</v>
      </c>
      <c r="K189">
        <v>1.51</v>
      </c>
      <c r="L189" t="s">
        <v>15</v>
      </c>
      <c r="M189">
        <v>0.56000000000000005</v>
      </c>
      <c r="N189">
        <v>6.1999999999999998E-3</v>
      </c>
    </row>
    <row r="190" spans="1:14" x14ac:dyDescent="0.35">
      <c r="A190" s="1">
        <v>45968</v>
      </c>
      <c r="B190" s="4">
        <v>45968</v>
      </c>
      <c r="C190" t="s">
        <v>53</v>
      </c>
      <c r="E190" s="2" t="str">
        <f>edit!F190</f>
        <v>bullish</v>
      </c>
      <c r="G190">
        <v>300.33999999999997</v>
      </c>
      <c r="H190">
        <v>302.55</v>
      </c>
      <c r="I190">
        <v>298.33</v>
      </c>
      <c r="J190">
        <v>299.66000000000003</v>
      </c>
      <c r="K190">
        <v>-0.68</v>
      </c>
      <c r="L190" t="s">
        <v>15</v>
      </c>
      <c r="M190">
        <v>0.42</v>
      </c>
      <c r="N190">
        <v>-2.3E-3</v>
      </c>
    </row>
    <row r="191" spans="1:14" x14ac:dyDescent="0.35">
      <c r="A191" s="1">
        <v>45971</v>
      </c>
      <c r="B191" s="4">
        <v>45971</v>
      </c>
      <c r="C191" t="s">
        <v>51</v>
      </c>
      <c r="E191" s="2" t="str">
        <f>edit!F191</f>
        <v>bullish</v>
      </c>
      <c r="G191">
        <v>261.86</v>
      </c>
      <c r="H191">
        <v>269.77</v>
      </c>
      <c r="I191">
        <v>260.14999999999998</v>
      </c>
      <c r="J191">
        <v>267.58999999999997</v>
      </c>
      <c r="K191">
        <v>5.73</v>
      </c>
      <c r="L191" t="s">
        <v>15</v>
      </c>
      <c r="M191">
        <v>3.79</v>
      </c>
      <c r="N191">
        <v>2.1899999999999999E-2</v>
      </c>
    </row>
    <row r="192" spans="1:14" x14ac:dyDescent="0.35">
      <c r="A192" s="1">
        <v>45971</v>
      </c>
      <c r="B192" s="4">
        <v>45971</v>
      </c>
      <c r="C192" t="s">
        <v>16</v>
      </c>
      <c r="E192" s="2" t="str">
        <f>edit!F192</f>
        <v>bearish</v>
      </c>
      <c r="G192">
        <v>439.6</v>
      </c>
      <c r="H192">
        <v>449.67</v>
      </c>
      <c r="I192">
        <v>433.36</v>
      </c>
      <c r="J192">
        <v>445.23</v>
      </c>
      <c r="K192">
        <v>5.63</v>
      </c>
      <c r="L192" t="s">
        <v>15</v>
      </c>
      <c r="M192">
        <v>3.66</v>
      </c>
      <c r="N192">
        <v>1.2800000000000001E-2</v>
      </c>
    </row>
    <row r="193" spans="1:14" x14ac:dyDescent="0.35">
      <c r="A193" s="1">
        <v>45971</v>
      </c>
      <c r="B193" s="4">
        <v>45971</v>
      </c>
      <c r="C193" t="s">
        <v>44</v>
      </c>
      <c r="E193" s="2" t="str">
        <f>edit!F193</f>
        <v>bearish</v>
      </c>
      <c r="G193">
        <v>7.72</v>
      </c>
      <c r="H193">
        <v>7.92</v>
      </c>
      <c r="I193">
        <v>7.41</v>
      </c>
      <c r="J193">
        <v>7.44</v>
      </c>
      <c r="K193">
        <v>-0.28000000000000003</v>
      </c>
      <c r="L193" t="s">
        <v>15</v>
      </c>
      <c r="M193">
        <v>-2.87</v>
      </c>
      <c r="N193">
        <v>-3.6299999999999999E-2</v>
      </c>
    </row>
    <row r="194" spans="1:14" x14ac:dyDescent="0.35">
      <c r="A194" s="1">
        <v>45971</v>
      </c>
      <c r="B194" s="4">
        <v>45971</v>
      </c>
      <c r="C194" t="s">
        <v>20</v>
      </c>
      <c r="E194" s="2" t="str">
        <f>edit!F194</f>
        <v>bullish</v>
      </c>
      <c r="G194">
        <v>242.14</v>
      </c>
      <c r="H194">
        <v>248.9</v>
      </c>
      <c r="I194">
        <v>240.5</v>
      </c>
      <c r="J194">
        <v>243.98</v>
      </c>
      <c r="K194">
        <v>1.84</v>
      </c>
      <c r="L194" t="s">
        <v>15</v>
      </c>
      <c r="M194">
        <v>4.47</v>
      </c>
      <c r="N194">
        <v>7.6E-3</v>
      </c>
    </row>
    <row r="195" spans="1:14" x14ac:dyDescent="0.35">
      <c r="A195" s="1">
        <v>45971</v>
      </c>
      <c r="B195" s="4">
        <v>45971</v>
      </c>
      <c r="C195" t="s">
        <v>54</v>
      </c>
      <c r="E195" s="2" t="str">
        <f>edit!F195</f>
        <v>bearish</v>
      </c>
      <c r="G195">
        <v>15.03</v>
      </c>
      <c r="H195">
        <v>15.92</v>
      </c>
      <c r="I195">
        <v>15</v>
      </c>
      <c r="J195">
        <v>15.6</v>
      </c>
      <c r="K195">
        <v>0.56999999999999995</v>
      </c>
      <c r="L195" t="s">
        <v>15</v>
      </c>
      <c r="M195">
        <v>7.29</v>
      </c>
      <c r="N195">
        <v>3.7900000000000003E-2</v>
      </c>
    </row>
    <row r="196" spans="1:14" x14ac:dyDescent="0.35">
      <c r="A196" s="1">
        <v>45972</v>
      </c>
      <c r="B196" s="4">
        <v>45972</v>
      </c>
      <c r="C196" t="s">
        <v>55</v>
      </c>
      <c r="E196" s="2" t="str">
        <f>edit!F196</f>
        <v>bullish</v>
      </c>
      <c r="G196">
        <v>2.6</v>
      </c>
      <c r="H196">
        <v>2.63</v>
      </c>
      <c r="I196">
        <v>2.52</v>
      </c>
      <c r="J196">
        <v>2.5499999999999998</v>
      </c>
      <c r="K196">
        <v>-0.05</v>
      </c>
      <c r="L196" t="s">
        <v>15</v>
      </c>
      <c r="M196">
        <v>-1.92</v>
      </c>
      <c r="N196">
        <v>-1.9199999999999998E-2</v>
      </c>
    </row>
    <row r="197" spans="1:14" x14ac:dyDescent="0.35">
      <c r="A197" s="1">
        <v>45972</v>
      </c>
      <c r="B197" s="4">
        <v>45972</v>
      </c>
      <c r="C197" t="s">
        <v>20</v>
      </c>
      <c r="E197" s="2" t="str">
        <f>edit!F197</f>
        <v>bearish</v>
      </c>
      <c r="G197">
        <v>241.66</v>
      </c>
      <c r="H197">
        <v>248.46</v>
      </c>
      <c r="I197">
        <v>234.64</v>
      </c>
      <c r="J197">
        <v>237.52</v>
      </c>
      <c r="K197">
        <v>-4.1399999999999997</v>
      </c>
      <c r="L197" t="s">
        <v>15</v>
      </c>
      <c r="M197">
        <v>-2.65</v>
      </c>
      <c r="N197">
        <v>-1.7100000000000001E-2</v>
      </c>
    </row>
    <row r="198" spans="1:14" x14ac:dyDescent="0.35">
      <c r="A198" s="1">
        <v>45972</v>
      </c>
      <c r="B198" s="4">
        <v>45972</v>
      </c>
      <c r="C198" t="s">
        <v>27</v>
      </c>
      <c r="E198" s="2" t="str">
        <f>edit!F198</f>
        <v>bullish</v>
      </c>
      <c r="G198">
        <v>195.16</v>
      </c>
      <c r="H198">
        <v>195.42</v>
      </c>
      <c r="I198">
        <v>191.3</v>
      </c>
      <c r="J198">
        <v>193.16</v>
      </c>
      <c r="K198">
        <v>-2</v>
      </c>
      <c r="L198" t="s">
        <v>15</v>
      </c>
      <c r="M198">
        <v>-2.96</v>
      </c>
      <c r="N198">
        <v>-1.0200000000000001E-2</v>
      </c>
    </row>
    <row r="199" spans="1:14" x14ac:dyDescent="0.35">
      <c r="A199" s="1">
        <v>45972</v>
      </c>
      <c r="B199" s="4">
        <v>45972</v>
      </c>
      <c r="C199" t="s">
        <v>16</v>
      </c>
      <c r="E199" s="2" t="str">
        <f>edit!F199</f>
        <v>bearish</v>
      </c>
      <c r="G199">
        <v>439.4</v>
      </c>
      <c r="H199">
        <v>442.49</v>
      </c>
      <c r="I199">
        <v>432.36</v>
      </c>
      <c r="J199">
        <v>439.62</v>
      </c>
      <c r="K199">
        <v>0.22</v>
      </c>
      <c r="L199" t="s">
        <v>15</v>
      </c>
      <c r="M199">
        <v>-1.26</v>
      </c>
      <c r="N199">
        <v>5.0000000000000001E-4</v>
      </c>
    </row>
    <row r="200" spans="1:14" x14ac:dyDescent="0.35">
      <c r="A200" s="1">
        <v>45972</v>
      </c>
      <c r="B200" s="4">
        <v>45972</v>
      </c>
      <c r="C200" t="s">
        <v>51</v>
      </c>
      <c r="E200" s="2" t="str">
        <f>edit!F200</f>
        <v>bearish</v>
      </c>
      <c r="G200">
        <v>267.55</v>
      </c>
      <c r="H200">
        <v>268.94</v>
      </c>
      <c r="I200">
        <v>263.70999999999998</v>
      </c>
      <c r="J200">
        <v>264.88</v>
      </c>
      <c r="K200">
        <v>-2.67</v>
      </c>
      <c r="L200" t="s">
        <v>15</v>
      </c>
      <c r="M200">
        <v>-1.01</v>
      </c>
      <c r="N200">
        <v>-0.01</v>
      </c>
    </row>
    <row r="201" spans="1:14" x14ac:dyDescent="0.35">
      <c r="A201" s="1">
        <v>45973</v>
      </c>
      <c r="B201" s="4">
        <v>45973</v>
      </c>
      <c r="C201" t="s">
        <v>16</v>
      </c>
      <c r="E201" s="2" t="str">
        <f>edit!F201</f>
        <v>bearish</v>
      </c>
      <c r="G201">
        <v>442.15</v>
      </c>
      <c r="H201">
        <v>442.33</v>
      </c>
      <c r="I201">
        <v>426.56</v>
      </c>
      <c r="J201">
        <v>430.6</v>
      </c>
      <c r="K201">
        <v>-11.55</v>
      </c>
      <c r="L201" t="s">
        <v>15</v>
      </c>
      <c r="M201">
        <v>-2.0499999999999998</v>
      </c>
      <c r="N201">
        <v>-2.6100000000000002E-2</v>
      </c>
    </row>
    <row r="202" spans="1:14" x14ac:dyDescent="0.35">
      <c r="A202" s="1">
        <v>45973</v>
      </c>
      <c r="B202" s="4">
        <v>45973</v>
      </c>
      <c r="C202" t="s">
        <v>27</v>
      </c>
      <c r="E202" s="2" t="str">
        <f>edit!F202</f>
        <v>bullish</v>
      </c>
      <c r="G202">
        <v>195.72</v>
      </c>
      <c r="H202">
        <v>195.89</v>
      </c>
      <c r="I202">
        <v>191.13</v>
      </c>
      <c r="J202">
        <v>193.8</v>
      </c>
      <c r="K202">
        <v>-1.92</v>
      </c>
      <c r="L202" t="s">
        <v>15</v>
      </c>
      <c r="M202">
        <v>0.33</v>
      </c>
      <c r="N202">
        <v>-9.7999999999999997E-3</v>
      </c>
    </row>
    <row r="203" spans="1:14" x14ac:dyDescent="0.35">
      <c r="A203" s="1">
        <v>45973</v>
      </c>
      <c r="B203" s="4">
        <v>45973</v>
      </c>
      <c r="C203" t="s">
        <v>56</v>
      </c>
      <c r="E203" s="2" t="str">
        <f>edit!F203</f>
        <v>bullish</v>
      </c>
      <c r="G203">
        <v>293.7</v>
      </c>
      <c r="H203">
        <v>294.87</v>
      </c>
      <c r="I203">
        <v>289.58</v>
      </c>
      <c r="J203">
        <v>290.62</v>
      </c>
      <c r="K203">
        <v>-3.08</v>
      </c>
      <c r="L203" t="s">
        <v>15</v>
      </c>
      <c r="M203">
        <v>-0.19</v>
      </c>
      <c r="N203">
        <v>-1.0500000000000001E-2</v>
      </c>
    </row>
    <row r="204" spans="1:14" x14ac:dyDescent="0.35">
      <c r="A204" s="1">
        <v>45973</v>
      </c>
      <c r="B204" s="4">
        <v>45973</v>
      </c>
      <c r="C204" t="s">
        <v>57</v>
      </c>
      <c r="E204" s="2" t="str">
        <f>edit!F204</f>
        <v>bearish</v>
      </c>
      <c r="G204">
        <v>336.24</v>
      </c>
      <c r="H204">
        <v>339.98</v>
      </c>
      <c r="I204">
        <v>333.44</v>
      </c>
      <c r="J204">
        <v>333.9</v>
      </c>
      <c r="K204">
        <v>-2.34</v>
      </c>
      <c r="L204" t="s">
        <v>15</v>
      </c>
      <c r="M204">
        <v>-0.64</v>
      </c>
      <c r="N204">
        <v>-7.0000000000000001E-3</v>
      </c>
    </row>
    <row r="205" spans="1:14" x14ac:dyDescent="0.35">
      <c r="A205" s="1">
        <v>45973</v>
      </c>
      <c r="B205" s="4">
        <v>45973</v>
      </c>
      <c r="C205" t="s">
        <v>28</v>
      </c>
      <c r="E205" s="2" t="str">
        <f>edit!F205</f>
        <v>bullish</v>
      </c>
      <c r="G205">
        <v>275</v>
      </c>
      <c r="H205">
        <v>275.73</v>
      </c>
      <c r="I205">
        <v>271.7</v>
      </c>
      <c r="J205">
        <v>273.47000000000003</v>
      </c>
      <c r="K205">
        <v>-1.53</v>
      </c>
      <c r="L205" t="s">
        <v>15</v>
      </c>
      <c r="M205">
        <v>-0.65</v>
      </c>
      <c r="N205">
        <v>-5.5999999999999999E-3</v>
      </c>
    </row>
    <row r="206" spans="1:14" x14ac:dyDescent="0.35">
      <c r="A206" s="1">
        <v>45974</v>
      </c>
      <c r="B206" s="4">
        <v>45974</v>
      </c>
      <c r="C206" t="s">
        <v>58</v>
      </c>
      <c r="E206" s="2" t="str">
        <f>edit!F206</f>
        <v>bullish</v>
      </c>
      <c r="G206">
        <v>77.95</v>
      </c>
      <c r="H206">
        <v>79.5</v>
      </c>
      <c r="I206">
        <v>76.650000000000006</v>
      </c>
      <c r="J206">
        <v>77.38</v>
      </c>
      <c r="K206">
        <v>-0.56999999999999995</v>
      </c>
      <c r="L206" t="s">
        <v>15</v>
      </c>
      <c r="M206">
        <v>4.62</v>
      </c>
      <c r="N206">
        <v>-7.3000000000000001E-3</v>
      </c>
    </row>
    <row r="207" spans="1:14" x14ac:dyDescent="0.35">
      <c r="A207" s="1">
        <v>45974</v>
      </c>
      <c r="B207" s="4">
        <v>45974</v>
      </c>
      <c r="C207" t="s">
        <v>29</v>
      </c>
      <c r="E207" s="2" t="str">
        <f>edit!F207</f>
        <v>bullish</v>
      </c>
      <c r="G207">
        <v>243.05</v>
      </c>
      <c r="H207">
        <v>243.75</v>
      </c>
      <c r="I207">
        <v>236.5</v>
      </c>
      <c r="J207">
        <v>237.58</v>
      </c>
      <c r="K207">
        <v>-5.47</v>
      </c>
      <c r="L207" t="s">
        <v>15</v>
      </c>
      <c r="M207">
        <v>-2.71</v>
      </c>
      <c r="N207">
        <v>-2.2499999999999999E-2</v>
      </c>
    </row>
    <row r="208" spans="1:14" x14ac:dyDescent="0.35">
      <c r="A208" s="1">
        <v>45974</v>
      </c>
      <c r="B208" s="4">
        <v>45974</v>
      </c>
      <c r="C208" t="s">
        <v>36</v>
      </c>
      <c r="E208" s="2" t="str">
        <f>edit!F208</f>
        <v>bearish</v>
      </c>
      <c r="G208">
        <v>115.85</v>
      </c>
      <c r="H208">
        <v>116.73</v>
      </c>
      <c r="I208">
        <v>114.57</v>
      </c>
      <c r="J208">
        <v>115.42</v>
      </c>
      <c r="K208">
        <v>-0.43</v>
      </c>
      <c r="L208" t="s">
        <v>15</v>
      </c>
      <c r="M208">
        <v>-0.28000000000000003</v>
      </c>
      <c r="N208">
        <v>-3.7000000000000002E-3</v>
      </c>
    </row>
    <row r="209" spans="1:14" x14ac:dyDescent="0.35">
      <c r="A209" s="1">
        <v>45974</v>
      </c>
      <c r="B209" s="4">
        <v>45974</v>
      </c>
      <c r="C209" t="s">
        <v>59</v>
      </c>
      <c r="E209" s="2" t="str">
        <f>edit!F209</f>
        <v>bearish</v>
      </c>
      <c r="G209">
        <v>312.29000000000002</v>
      </c>
      <c r="H209">
        <v>314.60000000000002</v>
      </c>
      <c r="I209">
        <v>303.68</v>
      </c>
      <c r="J209">
        <v>304.86</v>
      </c>
      <c r="K209">
        <v>-7.43</v>
      </c>
      <c r="L209" t="s">
        <v>15</v>
      </c>
      <c r="M209">
        <v>-3.21</v>
      </c>
      <c r="N209">
        <v>-2.3800000000000002E-2</v>
      </c>
    </row>
    <row r="210" spans="1:14" x14ac:dyDescent="0.35">
      <c r="A210" s="1">
        <v>45974</v>
      </c>
      <c r="B210" s="4">
        <v>45974</v>
      </c>
      <c r="C210" s="6" t="s">
        <v>60</v>
      </c>
      <c r="D210" s="6"/>
      <c r="E210" s="2" t="str">
        <f>edit!F210</f>
        <v>bearish</v>
      </c>
      <c r="G210">
        <v>13.4</v>
      </c>
      <c r="H210">
        <v>13.5</v>
      </c>
      <c r="I210">
        <v>13.25</v>
      </c>
      <c r="J210">
        <v>13.28</v>
      </c>
      <c r="K210">
        <v>-0.12</v>
      </c>
      <c r="L210" t="s">
        <v>15</v>
      </c>
      <c r="M210">
        <v>-1.26</v>
      </c>
      <c r="N210">
        <v>-8.9999999999999993E-3</v>
      </c>
    </row>
    <row r="211" spans="1:14" x14ac:dyDescent="0.35">
      <c r="A211" s="1">
        <v>45974</v>
      </c>
      <c r="B211" s="4">
        <v>45974</v>
      </c>
      <c r="C211" s="5"/>
      <c r="D211" s="5"/>
      <c r="E211" s="2" t="e">
        <f>edit!F211</f>
        <v>#N/A</v>
      </c>
      <c r="F211" s="2"/>
      <c r="G211" s="2"/>
      <c r="H211" s="2"/>
      <c r="I211" s="2"/>
      <c r="J211" s="2"/>
      <c r="K211" s="2"/>
      <c r="L211" t="s">
        <v>15</v>
      </c>
    </row>
    <row r="212" spans="1:14" x14ac:dyDescent="0.35">
      <c r="A212" s="1">
        <v>45975</v>
      </c>
      <c r="B212" s="4">
        <v>45975</v>
      </c>
      <c r="C212" t="s">
        <v>61</v>
      </c>
      <c r="E212" s="2" t="str">
        <f>edit!F212</f>
        <v>bearish</v>
      </c>
      <c r="G212">
        <v>64.94</v>
      </c>
      <c r="H212">
        <v>65.06</v>
      </c>
      <c r="I212">
        <v>63.75</v>
      </c>
      <c r="J212">
        <v>64.17</v>
      </c>
      <c r="K212">
        <v>-0.77</v>
      </c>
      <c r="L212" t="s">
        <v>15</v>
      </c>
      <c r="M212">
        <v>-2.82</v>
      </c>
      <c r="N212">
        <v>-1.1900000000000001E-2</v>
      </c>
    </row>
    <row r="213" spans="1:14" x14ac:dyDescent="0.35">
      <c r="A213" s="1">
        <v>45975</v>
      </c>
      <c r="B213" s="4">
        <v>45975</v>
      </c>
      <c r="C213" t="s">
        <v>20</v>
      </c>
      <c r="E213" s="2" t="str">
        <f>edit!F213</f>
        <v>bearish</v>
      </c>
      <c r="G213">
        <v>240.11</v>
      </c>
      <c r="H213">
        <v>253.44</v>
      </c>
      <c r="I213">
        <v>235.08</v>
      </c>
      <c r="J213">
        <v>246.81</v>
      </c>
      <c r="K213">
        <v>6.7</v>
      </c>
      <c r="L213" t="s">
        <v>15</v>
      </c>
      <c r="M213">
        <v>-0.46</v>
      </c>
      <c r="N213">
        <v>2.7900000000000001E-2</v>
      </c>
    </row>
    <row r="214" spans="1:14" x14ac:dyDescent="0.35">
      <c r="A214" s="1">
        <v>45975</v>
      </c>
      <c r="B214" s="4">
        <v>45975</v>
      </c>
      <c r="C214" t="s">
        <v>27</v>
      </c>
      <c r="E214" s="2" t="str">
        <f>edit!F214</f>
        <v>bearish</v>
      </c>
      <c r="G214">
        <v>182.86</v>
      </c>
      <c r="H214">
        <v>191.01</v>
      </c>
      <c r="I214">
        <v>180.58</v>
      </c>
      <c r="J214">
        <v>190.17</v>
      </c>
      <c r="K214">
        <v>7.31</v>
      </c>
      <c r="L214" t="s">
        <v>15</v>
      </c>
      <c r="M214">
        <v>1.77</v>
      </c>
      <c r="N214">
        <v>0.04</v>
      </c>
    </row>
    <row r="215" spans="1:14" x14ac:dyDescent="0.35">
      <c r="A215" s="1">
        <v>45975</v>
      </c>
      <c r="B215" s="4">
        <v>45975</v>
      </c>
      <c r="C215" t="s">
        <v>62</v>
      </c>
      <c r="E215" s="2" t="str">
        <f>edit!F215</f>
        <v>bullish</v>
      </c>
      <c r="G215">
        <v>231.45</v>
      </c>
      <c r="H215">
        <v>255.17</v>
      </c>
      <c r="I215">
        <v>231.23</v>
      </c>
      <c r="J215">
        <v>246.83</v>
      </c>
      <c r="K215">
        <v>15.38</v>
      </c>
      <c r="L215" t="s">
        <v>15</v>
      </c>
      <c r="M215">
        <v>4.17</v>
      </c>
      <c r="N215">
        <v>6.6500000000000004E-2</v>
      </c>
    </row>
    <row r="216" spans="1:14" x14ac:dyDescent="0.35">
      <c r="A216" s="1">
        <v>45975</v>
      </c>
      <c r="B216" s="4">
        <v>45975</v>
      </c>
      <c r="C216" t="s">
        <v>63</v>
      </c>
      <c r="E216" s="2" t="str">
        <f>edit!F216</f>
        <v>bearish</v>
      </c>
      <c r="G216">
        <v>107.52</v>
      </c>
      <c r="H216">
        <v>108.73</v>
      </c>
      <c r="I216">
        <v>105.3</v>
      </c>
      <c r="J216">
        <v>105.8</v>
      </c>
      <c r="K216">
        <v>-1.72</v>
      </c>
      <c r="L216" t="s">
        <v>15</v>
      </c>
      <c r="M216">
        <v>-1.68</v>
      </c>
      <c r="N216">
        <v>-1.6E-2</v>
      </c>
    </row>
    <row r="217" spans="1:14" x14ac:dyDescent="0.35">
      <c r="A217" s="1">
        <v>45978</v>
      </c>
      <c r="B217" s="4">
        <v>45978</v>
      </c>
      <c r="C217" t="s">
        <v>64</v>
      </c>
      <c r="E217" s="2" t="str">
        <f>edit!F217</f>
        <v>bearish</v>
      </c>
      <c r="G217">
        <v>285.77999999999997</v>
      </c>
      <c r="H217">
        <v>293.95</v>
      </c>
      <c r="I217">
        <v>283.57</v>
      </c>
      <c r="J217">
        <v>285.02</v>
      </c>
      <c r="K217">
        <v>-0.76</v>
      </c>
      <c r="L217" t="s">
        <v>15</v>
      </c>
      <c r="M217">
        <v>3.11</v>
      </c>
      <c r="N217">
        <v>-2.7000000000000001E-3</v>
      </c>
    </row>
    <row r="218" spans="1:14" x14ac:dyDescent="0.35">
      <c r="A218" s="1">
        <v>45978</v>
      </c>
      <c r="B218" s="4">
        <v>45978</v>
      </c>
      <c r="C218" t="s">
        <v>13</v>
      </c>
      <c r="E218" s="2" t="str">
        <f>edit!F218</f>
        <v>neutral</v>
      </c>
      <c r="G218">
        <v>507.5</v>
      </c>
      <c r="H218">
        <v>511.16</v>
      </c>
      <c r="I218">
        <v>503.97</v>
      </c>
      <c r="J218">
        <v>506.54</v>
      </c>
      <c r="K218">
        <v>-0.96</v>
      </c>
      <c r="L218" t="s">
        <v>15</v>
      </c>
      <c r="M218">
        <v>-0.53</v>
      </c>
      <c r="N218">
        <v>-1.9E-3</v>
      </c>
    </row>
    <row r="219" spans="1:14" x14ac:dyDescent="0.35">
      <c r="A219" s="1">
        <v>45978</v>
      </c>
      <c r="B219" s="4">
        <v>45978</v>
      </c>
      <c r="C219" t="s">
        <v>27</v>
      </c>
      <c r="E219" s="2" t="str">
        <f>edit!F219</f>
        <v>bullish</v>
      </c>
      <c r="G219">
        <v>185.97</v>
      </c>
      <c r="H219">
        <v>189</v>
      </c>
      <c r="I219">
        <v>184.32</v>
      </c>
      <c r="J219">
        <v>186.6</v>
      </c>
      <c r="K219">
        <v>0.63</v>
      </c>
      <c r="L219" t="s">
        <v>15</v>
      </c>
      <c r="M219">
        <v>-1.88</v>
      </c>
      <c r="N219">
        <v>3.3999999999999998E-3</v>
      </c>
    </row>
    <row r="220" spans="1:14" x14ac:dyDescent="0.35">
      <c r="A220" s="1">
        <v>45978</v>
      </c>
      <c r="B220" s="4">
        <v>45978</v>
      </c>
      <c r="C220" t="s">
        <v>28</v>
      </c>
      <c r="E220" s="2" t="str">
        <f>edit!F220</f>
        <v>bullish</v>
      </c>
      <c r="G220">
        <v>268.82</v>
      </c>
      <c r="H220">
        <v>270.49</v>
      </c>
      <c r="I220">
        <v>265.73</v>
      </c>
      <c r="J220">
        <v>267.45999999999998</v>
      </c>
      <c r="K220">
        <v>-1.36</v>
      </c>
      <c r="L220" t="s">
        <v>15</v>
      </c>
      <c r="M220">
        <v>-1.82</v>
      </c>
      <c r="N220">
        <v>-5.1000000000000004E-3</v>
      </c>
    </row>
    <row r="221" spans="1:14" x14ac:dyDescent="0.35">
      <c r="A221" s="1">
        <v>45978</v>
      </c>
      <c r="B221" s="4">
        <v>45978</v>
      </c>
      <c r="C221" t="s">
        <v>29</v>
      </c>
      <c r="E221" s="2" t="str">
        <f>edit!F221</f>
        <v>bullish</v>
      </c>
      <c r="G221">
        <v>233.25</v>
      </c>
      <c r="H221">
        <v>234.6</v>
      </c>
      <c r="I221">
        <v>229.19</v>
      </c>
      <c r="J221">
        <v>232.87</v>
      </c>
      <c r="K221">
        <v>-0.38</v>
      </c>
      <c r="L221" t="s">
        <v>15</v>
      </c>
      <c r="M221">
        <v>-0.78</v>
      </c>
      <c r="N221">
        <v>-1.6000000000000001E-3</v>
      </c>
    </row>
    <row r="222" spans="1:14" x14ac:dyDescent="0.35">
      <c r="A222" s="1">
        <v>45979</v>
      </c>
      <c r="B222" s="4">
        <v>45979</v>
      </c>
      <c r="C222" t="s">
        <v>65</v>
      </c>
      <c r="E222" s="2" t="str">
        <f>edit!F222</f>
        <v>bullish</v>
      </c>
      <c r="G222">
        <v>323.77999999999997</v>
      </c>
      <c r="H222">
        <v>326.64</v>
      </c>
      <c r="I222">
        <v>320.8</v>
      </c>
      <c r="J222">
        <v>324.47000000000003</v>
      </c>
      <c r="K222">
        <v>0.69</v>
      </c>
      <c r="L222" t="s">
        <v>15</v>
      </c>
      <c r="M222">
        <v>-0.18</v>
      </c>
      <c r="N222">
        <v>2.0999999999999999E-3</v>
      </c>
    </row>
    <row r="223" spans="1:14" x14ac:dyDescent="0.35">
      <c r="A223" s="1">
        <v>45979</v>
      </c>
      <c r="B223" s="4">
        <v>45979</v>
      </c>
      <c r="C223" s="2" t="str">
        <f>edit!C223</f>
        <v>SQ</v>
      </c>
      <c r="D223" s="2"/>
      <c r="E223" s="5" t="str">
        <f>edit!F223</f>
        <v>bearish</v>
      </c>
      <c r="F223" s="2"/>
      <c r="G223" s="2"/>
      <c r="H223" s="2"/>
      <c r="I223" s="2"/>
      <c r="J223" s="2"/>
      <c r="K223" s="2"/>
      <c r="L223" t="s">
        <v>15</v>
      </c>
    </row>
    <row r="224" spans="1:14" x14ac:dyDescent="0.35">
      <c r="A224" s="1">
        <v>45979</v>
      </c>
      <c r="B224" s="4">
        <v>45979</v>
      </c>
      <c r="C224" t="s">
        <v>67</v>
      </c>
      <c r="E224" s="2" t="str">
        <f>edit!F224</f>
        <v>bullish</v>
      </c>
      <c r="G224">
        <v>236.24</v>
      </c>
      <c r="H224">
        <v>237.79</v>
      </c>
      <c r="I224">
        <v>230.27</v>
      </c>
      <c r="J224">
        <v>233.5</v>
      </c>
      <c r="K224">
        <v>-2.74</v>
      </c>
      <c r="L224" t="s">
        <v>15</v>
      </c>
      <c r="M224">
        <v>-1.49</v>
      </c>
      <c r="N224">
        <v>-1.1599999999999999E-2</v>
      </c>
    </row>
    <row r="225" spans="1:14" x14ac:dyDescent="0.35">
      <c r="A225" s="1">
        <v>45979</v>
      </c>
      <c r="B225" s="4">
        <v>45979</v>
      </c>
      <c r="C225" t="s">
        <v>27</v>
      </c>
      <c r="E225" s="2" t="str">
        <f>edit!F225</f>
        <v>bullish</v>
      </c>
      <c r="G225">
        <v>183.38</v>
      </c>
      <c r="H225">
        <v>184.8</v>
      </c>
      <c r="I225">
        <v>179.65</v>
      </c>
      <c r="J225">
        <v>181.36</v>
      </c>
      <c r="K225">
        <v>-2.02</v>
      </c>
      <c r="L225" t="s">
        <v>15</v>
      </c>
      <c r="M225">
        <v>-2.81</v>
      </c>
      <c r="N225">
        <v>-1.0999999999999999E-2</v>
      </c>
    </row>
    <row r="226" spans="1:14" x14ac:dyDescent="0.35">
      <c r="A226" s="1">
        <v>45979</v>
      </c>
      <c r="B226" s="4">
        <v>45979</v>
      </c>
      <c r="C226" t="s">
        <v>68</v>
      </c>
      <c r="E226" s="2" t="str">
        <f>edit!F226</f>
        <v>bullish</v>
      </c>
      <c r="G226">
        <v>216.21</v>
      </c>
      <c r="H226">
        <v>223.7</v>
      </c>
      <c r="I226">
        <v>214.5</v>
      </c>
      <c r="J226">
        <v>220.49</v>
      </c>
      <c r="K226">
        <v>4.28</v>
      </c>
      <c r="L226" t="s">
        <v>15</v>
      </c>
      <c r="M226">
        <v>0.28999999999999998</v>
      </c>
      <c r="N226">
        <v>1.9800000000000002E-2</v>
      </c>
    </row>
    <row r="227" spans="1:14" x14ac:dyDescent="0.35">
      <c r="A227" s="1">
        <v>45980</v>
      </c>
      <c r="B227" s="4">
        <v>45980</v>
      </c>
      <c r="C227" t="s">
        <v>28</v>
      </c>
      <c r="E227" s="2" t="str">
        <f>edit!F227</f>
        <v>bullish</v>
      </c>
      <c r="G227">
        <v>265.52999999999997</v>
      </c>
      <c r="H227">
        <v>272.20999999999998</v>
      </c>
      <c r="I227">
        <v>265.5</v>
      </c>
      <c r="J227">
        <v>268.56</v>
      </c>
      <c r="K227">
        <v>3.03</v>
      </c>
      <c r="L227" t="s">
        <v>15</v>
      </c>
      <c r="M227">
        <v>0.42</v>
      </c>
      <c r="N227">
        <v>1.14E-2</v>
      </c>
    </row>
    <row r="228" spans="1:14" x14ac:dyDescent="0.35">
      <c r="A228" s="1">
        <v>45980</v>
      </c>
      <c r="B228" s="4">
        <v>45980</v>
      </c>
      <c r="C228" t="s">
        <v>27</v>
      </c>
      <c r="E228" s="2" t="str">
        <f>edit!F228</f>
        <v>bullish</v>
      </c>
      <c r="G228">
        <v>184.79</v>
      </c>
      <c r="H228">
        <v>187.86</v>
      </c>
      <c r="I228">
        <v>182.83</v>
      </c>
      <c r="J228">
        <v>186.52</v>
      </c>
      <c r="K228">
        <v>1.73</v>
      </c>
      <c r="L228" t="s">
        <v>15</v>
      </c>
      <c r="M228">
        <v>2.85</v>
      </c>
      <c r="N228">
        <v>9.4000000000000004E-3</v>
      </c>
    </row>
    <row r="229" spans="1:14" x14ac:dyDescent="0.35">
      <c r="A229" s="1">
        <v>45980</v>
      </c>
      <c r="B229" s="4">
        <v>45980</v>
      </c>
      <c r="C229" t="s">
        <v>43</v>
      </c>
      <c r="E229" s="2" t="str">
        <f>edit!F229</f>
        <v>bearish</v>
      </c>
      <c r="G229">
        <v>287.68</v>
      </c>
      <c r="H229">
        <v>304.25</v>
      </c>
      <c r="I229">
        <v>287.67</v>
      </c>
      <c r="J229">
        <v>292.99</v>
      </c>
      <c r="K229">
        <v>5.31</v>
      </c>
      <c r="L229" t="s">
        <v>15</v>
      </c>
      <c r="M229">
        <v>2.82</v>
      </c>
      <c r="N229">
        <v>1.8499999999999999E-2</v>
      </c>
    </row>
    <row r="230" spans="1:14" x14ac:dyDescent="0.35">
      <c r="A230" s="1">
        <v>45980</v>
      </c>
      <c r="B230" s="4">
        <v>45980</v>
      </c>
      <c r="C230" t="s">
        <v>63</v>
      </c>
      <c r="E230" s="2" t="str">
        <f>edit!F230</f>
        <v>bullish</v>
      </c>
      <c r="G230">
        <v>106.08</v>
      </c>
      <c r="H230">
        <v>107.59</v>
      </c>
      <c r="I230">
        <v>104.08</v>
      </c>
      <c r="J230">
        <v>104.67</v>
      </c>
      <c r="K230">
        <v>-1.41</v>
      </c>
      <c r="L230" t="s">
        <v>15</v>
      </c>
      <c r="M230">
        <v>-1.51</v>
      </c>
      <c r="N230">
        <v>-1.3299999999999999E-2</v>
      </c>
    </row>
    <row r="231" spans="1:14" x14ac:dyDescent="0.35">
      <c r="A231" s="1">
        <v>45980</v>
      </c>
      <c r="B231" s="4">
        <v>45980</v>
      </c>
      <c r="C231" t="s">
        <v>29</v>
      </c>
      <c r="E231" s="2" t="str">
        <f>edit!F231</f>
        <v>bullish</v>
      </c>
      <c r="G231">
        <v>223.74</v>
      </c>
      <c r="H231">
        <v>223.74</v>
      </c>
      <c r="I231">
        <v>218.52</v>
      </c>
      <c r="J231">
        <v>222.69</v>
      </c>
      <c r="K231">
        <v>-1.05</v>
      </c>
      <c r="L231" t="s">
        <v>15</v>
      </c>
      <c r="M231">
        <v>0.06</v>
      </c>
      <c r="N231">
        <v>-4.7000000000000002E-3</v>
      </c>
    </row>
    <row r="232" spans="1:14" x14ac:dyDescent="0.35">
      <c r="A232" s="1">
        <v>45981</v>
      </c>
      <c r="B232" s="4">
        <v>45981</v>
      </c>
      <c r="C232" t="s">
        <v>41</v>
      </c>
      <c r="E232" s="2" t="str">
        <f>edit!F232</f>
        <v>bullish</v>
      </c>
      <c r="G232">
        <v>603.5</v>
      </c>
      <c r="H232">
        <v>606.72</v>
      </c>
      <c r="I232">
        <v>583.35</v>
      </c>
      <c r="J232">
        <v>589.15</v>
      </c>
      <c r="K232">
        <v>-14.35</v>
      </c>
      <c r="L232" t="s">
        <v>15</v>
      </c>
      <c r="M232">
        <v>-0.2</v>
      </c>
      <c r="N232">
        <v>-2.3800000000000002E-2</v>
      </c>
    </row>
    <row r="233" spans="1:14" x14ac:dyDescent="0.35">
      <c r="A233" s="1">
        <v>45981</v>
      </c>
      <c r="B233" s="4">
        <v>45981</v>
      </c>
      <c r="C233" t="s">
        <v>16</v>
      </c>
      <c r="E233" s="2" t="str">
        <f>edit!F233</f>
        <v>bearish</v>
      </c>
      <c r="G233">
        <v>414.63</v>
      </c>
      <c r="H233">
        <v>428.94</v>
      </c>
      <c r="I233">
        <v>394.74</v>
      </c>
      <c r="J233">
        <v>395.23</v>
      </c>
      <c r="K233">
        <v>-19.399999999999999</v>
      </c>
      <c r="L233" t="s">
        <v>15</v>
      </c>
      <c r="M233">
        <v>-2.17</v>
      </c>
      <c r="N233">
        <v>-4.6800000000000001E-2</v>
      </c>
    </row>
    <row r="234" spans="1:14" x14ac:dyDescent="0.35">
      <c r="A234" s="1">
        <v>45981</v>
      </c>
      <c r="B234" s="4">
        <v>45981</v>
      </c>
      <c r="C234" t="s">
        <v>13</v>
      </c>
      <c r="E234" s="2" t="str">
        <f>edit!F234</f>
        <v>bullish</v>
      </c>
      <c r="G234">
        <v>492.71</v>
      </c>
      <c r="H234">
        <v>493.57</v>
      </c>
      <c r="I234">
        <v>475.5</v>
      </c>
      <c r="J234">
        <v>478.43</v>
      </c>
      <c r="K234">
        <v>-14.28</v>
      </c>
      <c r="L234" t="s">
        <v>15</v>
      </c>
      <c r="M234">
        <v>-1.6</v>
      </c>
      <c r="N234">
        <v>-2.9000000000000001E-2</v>
      </c>
    </row>
    <row r="235" spans="1:14" x14ac:dyDescent="0.35">
      <c r="A235" s="1">
        <v>45981</v>
      </c>
      <c r="B235" s="4">
        <v>45981</v>
      </c>
      <c r="C235" s="2" t="str">
        <f>edit!C235</f>
        <v>SQ</v>
      </c>
      <c r="D235" s="2"/>
      <c r="E235" s="2" t="str">
        <f>edit!F235</f>
        <v>bullish</v>
      </c>
      <c r="F235" s="2"/>
      <c r="G235" s="2"/>
      <c r="H235" s="2"/>
      <c r="I235" s="2"/>
      <c r="J235" s="2"/>
      <c r="K235" s="2"/>
      <c r="L235" t="s">
        <v>15</v>
      </c>
    </row>
    <row r="236" spans="1:14" x14ac:dyDescent="0.35">
      <c r="A236" s="1">
        <v>45981</v>
      </c>
      <c r="B236" s="4">
        <v>45981</v>
      </c>
      <c r="C236" t="s">
        <v>36</v>
      </c>
      <c r="E236" s="2" t="str">
        <f>edit!F236</f>
        <v>bullish</v>
      </c>
      <c r="G236">
        <v>111</v>
      </c>
      <c r="H236">
        <v>111.1</v>
      </c>
      <c r="I236">
        <v>105.39</v>
      </c>
      <c r="J236">
        <v>105.67</v>
      </c>
      <c r="K236">
        <v>-5.33</v>
      </c>
      <c r="L236" t="s">
        <v>15</v>
      </c>
      <c r="M236">
        <v>-3.94</v>
      </c>
      <c r="N236">
        <v>-4.8000000000000001E-2</v>
      </c>
    </row>
    <row r="237" spans="1:14" x14ac:dyDescent="0.35">
      <c r="A237" s="1">
        <v>45982</v>
      </c>
      <c r="B237" s="4">
        <v>45982</v>
      </c>
      <c r="C237" t="s">
        <v>70</v>
      </c>
      <c r="E237" s="2" t="str">
        <f>edit!F237</f>
        <v>bullish</v>
      </c>
      <c r="G237">
        <v>166.73</v>
      </c>
      <c r="H237">
        <v>174.86</v>
      </c>
      <c r="I237">
        <v>163.51</v>
      </c>
      <c r="J237">
        <v>174</v>
      </c>
      <c r="K237">
        <v>7.27</v>
      </c>
      <c r="L237" t="s">
        <v>15</v>
      </c>
      <c r="M237">
        <v>8.41</v>
      </c>
      <c r="N237">
        <v>4.36E-2</v>
      </c>
    </row>
    <row r="238" spans="1:14" x14ac:dyDescent="0.35">
      <c r="A238" s="1">
        <v>45982</v>
      </c>
      <c r="B238" s="4">
        <v>45982</v>
      </c>
      <c r="C238" s="2" t="str">
        <f>edit!C238</f>
        <v>GPS</v>
      </c>
      <c r="D238" s="2"/>
      <c r="E238" s="2" t="str">
        <f>edit!F238</f>
        <v>bullish</v>
      </c>
      <c r="F238" s="2"/>
      <c r="G238" s="2"/>
      <c r="H238" s="2"/>
      <c r="I238" s="2"/>
      <c r="J238" s="2"/>
      <c r="K238" s="2"/>
      <c r="L238" t="s">
        <v>15</v>
      </c>
    </row>
    <row r="239" spans="1:14" x14ac:dyDescent="0.35">
      <c r="A239" s="1">
        <v>45982</v>
      </c>
      <c r="B239" s="4">
        <v>45982</v>
      </c>
      <c r="C239" t="s">
        <v>27</v>
      </c>
      <c r="E239" s="2" t="str">
        <f>edit!F239</f>
        <v>bullish</v>
      </c>
      <c r="G239">
        <v>181.24</v>
      </c>
      <c r="H239">
        <v>184.56</v>
      </c>
      <c r="I239">
        <v>172.93</v>
      </c>
      <c r="J239">
        <v>178.88</v>
      </c>
      <c r="K239">
        <v>-2.36</v>
      </c>
      <c r="L239" t="s">
        <v>15</v>
      </c>
      <c r="M239">
        <v>-0.97</v>
      </c>
      <c r="N239">
        <v>-1.2999999999999999E-2</v>
      </c>
    </row>
    <row r="240" spans="1:14" x14ac:dyDescent="0.35">
      <c r="A240" s="1">
        <v>45982</v>
      </c>
      <c r="B240" s="4">
        <v>45982</v>
      </c>
      <c r="C240" t="s">
        <v>72</v>
      </c>
      <c r="E240" s="2" t="str">
        <f>edit!F240</f>
        <v>bullish</v>
      </c>
      <c r="G240">
        <v>149.06</v>
      </c>
      <c r="H240">
        <v>152.58000000000001</v>
      </c>
      <c r="I240">
        <v>148.82</v>
      </c>
      <c r="J240">
        <v>151.43</v>
      </c>
      <c r="K240">
        <v>2.37</v>
      </c>
      <c r="L240" t="s">
        <v>15</v>
      </c>
      <c r="M240">
        <v>2.27</v>
      </c>
      <c r="N240">
        <v>1.5900000000000001E-2</v>
      </c>
    </row>
    <row r="241" spans="1:14" x14ac:dyDescent="0.35">
      <c r="A241" s="1">
        <v>45982</v>
      </c>
      <c r="B241" s="4">
        <v>45982</v>
      </c>
      <c r="C241" t="s">
        <v>73</v>
      </c>
      <c r="E241" s="2" t="str">
        <f>edit!F241</f>
        <v>bearish</v>
      </c>
      <c r="G241">
        <v>230.54</v>
      </c>
      <c r="H241">
        <v>236.56</v>
      </c>
      <c r="I241">
        <v>228.96</v>
      </c>
      <c r="J241">
        <v>234.29</v>
      </c>
      <c r="K241">
        <v>3.75</v>
      </c>
      <c r="L241" t="s">
        <v>15</v>
      </c>
      <c r="M241">
        <v>2.57</v>
      </c>
      <c r="N241">
        <v>1.6299999999999999E-2</v>
      </c>
    </row>
    <row r="242" spans="1:14" x14ac:dyDescent="0.35">
      <c r="A242" s="1">
        <v>45985</v>
      </c>
      <c r="B242" s="4">
        <v>45985</v>
      </c>
      <c r="C242" t="s">
        <v>29</v>
      </c>
      <c r="E242" s="2" t="str">
        <f>edit!F242</f>
        <v>bullish</v>
      </c>
      <c r="G242">
        <v>222.56</v>
      </c>
      <c r="H242">
        <v>227.33</v>
      </c>
      <c r="I242">
        <v>222.27</v>
      </c>
      <c r="J242">
        <v>226.28</v>
      </c>
      <c r="K242">
        <v>3.72</v>
      </c>
      <c r="L242" t="s">
        <v>15</v>
      </c>
      <c r="M242">
        <v>2.5299999999999998</v>
      </c>
      <c r="N242">
        <v>1.67E-2</v>
      </c>
    </row>
    <row r="243" spans="1:14" x14ac:dyDescent="0.35">
      <c r="A243" s="1">
        <v>45985</v>
      </c>
      <c r="B243" s="4">
        <v>45985</v>
      </c>
      <c r="C243" t="s">
        <v>27</v>
      </c>
      <c r="E243" s="2" t="str">
        <f>edit!F243</f>
        <v>bullish</v>
      </c>
      <c r="G243">
        <v>179.49</v>
      </c>
      <c r="H243">
        <v>183.5</v>
      </c>
      <c r="I243">
        <v>176.48</v>
      </c>
      <c r="J243">
        <v>182.55</v>
      </c>
      <c r="K243">
        <v>3.06</v>
      </c>
      <c r="L243" t="s">
        <v>15</v>
      </c>
      <c r="M243">
        <v>2.0499999999999998</v>
      </c>
      <c r="N243">
        <v>1.7000000000000001E-2</v>
      </c>
    </row>
    <row r="244" spans="1:14" x14ac:dyDescent="0.35">
      <c r="A244" s="1">
        <v>45985</v>
      </c>
      <c r="B244" s="4">
        <v>45985</v>
      </c>
      <c r="C244" t="s">
        <v>64</v>
      </c>
      <c r="E244" s="2" t="str">
        <f>edit!F244</f>
        <v>bullish</v>
      </c>
      <c r="G244">
        <v>311.13</v>
      </c>
      <c r="H244">
        <v>319.48</v>
      </c>
      <c r="I244">
        <v>309.60000000000002</v>
      </c>
      <c r="J244">
        <v>318.58</v>
      </c>
      <c r="K244">
        <v>7.45</v>
      </c>
      <c r="L244" t="s">
        <v>15</v>
      </c>
      <c r="M244">
        <v>6.31</v>
      </c>
      <c r="N244">
        <v>2.3900000000000001E-2</v>
      </c>
    </row>
    <row r="245" spans="1:14" x14ac:dyDescent="0.35">
      <c r="A245" s="1">
        <v>45985</v>
      </c>
      <c r="B245" s="4">
        <v>45985</v>
      </c>
      <c r="C245" t="s">
        <v>28</v>
      </c>
      <c r="E245" s="2" t="str">
        <f>edit!F245</f>
        <v>bearish</v>
      </c>
      <c r="G245">
        <v>270.89999999999998</v>
      </c>
      <c r="H245">
        <v>277</v>
      </c>
      <c r="I245">
        <v>270.89999999999998</v>
      </c>
      <c r="J245">
        <v>275.92</v>
      </c>
      <c r="K245">
        <v>5.0199999999999996</v>
      </c>
      <c r="L245" t="s">
        <v>15</v>
      </c>
      <c r="M245">
        <v>1.63</v>
      </c>
      <c r="N245">
        <v>1.8499999999999999E-2</v>
      </c>
    </row>
    <row r="246" spans="1:14" x14ac:dyDescent="0.35">
      <c r="A246" s="1">
        <v>45985</v>
      </c>
      <c r="B246" s="4">
        <v>45985</v>
      </c>
      <c r="C246" s="2" t="s">
        <v>74</v>
      </c>
      <c r="D246" s="2"/>
      <c r="E246" s="5" t="str">
        <f>edit!F246</f>
        <v>bullish</v>
      </c>
      <c r="G246">
        <v>41.82</v>
      </c>
      <c r="H246">
        <v>41.89</v>
      </c>
      <c r="I246">
        <v>41.82</v>
      </c>
      <c r="J246">
        <v>41.89</v>
      </c>
      <c r="K246">
        <v>7.0000000000000007E-2</v>
      </c>
      <c r="L246" t="s">
        <v>15</v>
      </c>
      <c r="M246">
        <v>0.56999999999999995</v>
      </c>
      <c r="N246">
        <v>1.6999999999999999E-3</v>
      </c>
    </row>
    <row r="247" spans="1:14" x14ac:dyDescent="0.35">
      <c r="A247" s="1">
        <v>45986</v>
      </c>
      <c r="B247" s="4">
        <v>45986</v>
      </c>
      <c r="C247" t="s">
        <v>41</v>
      </c>
      <c r="E247" s="2" t="str">
        <f>edit!F247</f>
        <v>bullish</v>
      </c>
      <c r="G247">
        <v>624</v>
      </c>
      <c r="H247">
        <v>637.04999999999995</v>
      </c>
      <c r="I247">
        <v>618.29999999999995</v>
      </c>
      <c r="J247">
        <v>636.22</v>
      </c>
      <c r="K247">
        <v>12.22</v>
      </c>
      <c r="L247" t="s">
        <v>15</v>
      </c>
      <c r="M247">
        <v>3.78</v>
      </c>
      <c r="N247">
        <v>1.9599999999999999E-2</v>
      </c>
    </row>
    <row r="248" spans="1:14" x14ac:dyDescent="0.35">
      <c r="A248" s="1">
        <v>45986</v>
      </c>
      <c r="B248" s="4">
        <v>45986</v>
      </c>
      <c r="C248" t="s">
        <v>29</v>
      </c>
      <c r="E248" s="2" t="str">
        <f>edit!F248</f>
        <v>bullish</v>
      </c>
      <c r="G248">
        <v>226.38</v>
      </c>
      <c r="H248">
        <v>230.52</v>
      </c>
      <c r="I248">
        <v>223.8</v>
      </c>
      <c r="J248">
        <v>229.67</v>
      </c>
      <c r="K248">
        <v>3.29</v>
      </c>
      <c r="L248" t="s">
        <v>15</v>
      </c>
      <c r="M248">
        <v>1.5</v>
      </c>
      <c r="N248">
        <v>1.4500000000000001E-2</v>
      </c>
    </row>
    <row r="249" spans="1:14" x14ac:dyDescent="0.35">
      <c r="A249" s="1">
        <v>45986</v>
      </c>
      <c r="B249" s="4">
        <v>45986</v>
      </c>
      <c r="C249" t="s">
        <v>27</v>
      </c>
      <c r="E249" s="2" t="str">
        <f>edit!F249</f>
        <v>bullish</v>
      </c>
      <c r="G249">
        <v>174.91</v>
      </c>
      <c r="H249">
        <v>178.16</v>
      </c>
      <c r="I249">
        <v>169.55</v>
      </c>
      <c r="J249">
        <v>177.82</v>
      </c>
      <c r="K249">
        <v>2.91</v>
      </c>
      <c r="L249" t="s">
        <v>15</v>
      </c>
      <c r="M249">
        <v>-2.59</v>
      </c>
      <c r="N249">
        <v>1.66E-2</v>
      </c>
    </row>
    <row r="250" spans="1:14" x14ac:dyDescent="0.35">
      <c r="A250" s="1">
        <v>45986</v>
      </c>
      <c r="B250" s="4">
        <v>45986</v>
      </c>
      <c r="C250" t="s">
        <v>28</v>
      </c>
      <c r="E250" s="2" t="str">
        <f>edit!F250</f>
        <v>bearish</v>
      </c>
      <c r="G250">
        <v>275.27</v>
      </c>
      <c r="H250">
        <v>280.38</v>
      </c>
      <c r="I250">
        <v>275.25</v>
      </c>
      <c r="J250">
        <v>276.97000000000003</v>
      </c>
      <c r="K250">
        <v>1.7</v>
      </c>
      <c r="L250" t="s">
        <v>15</v>
      </c>
      <c r="M250">
        <v>0.38</v>
      </c>
      <c r="N250">
        <v>6.1999999999999998E-3</v>
      </c>
    </row>
    <row r="251" spans="1:14" x14ac:dyDescent="0.35">
      <c r="A251" s="1">
        <v>45986</v>
      </c>
      <c r="B251" s="4">
        <v>45986</v>
      </c>
      <c r="C251" t="s">
        <v>64</v>
      </c>
      <c r="E251" s="2" t="str">
        <f>edit!F251</f>
        <v>bearish</v>
      </c>
      <c r="G251">
        <v>326.20999999999998</v>
      </c>
      <c r="H251">
        <v>328.83</v>
      </c>
      <c r="I251">
        <v>317.64999999999998</v>
      </c>
      <c r="J251">
        <v>323.44</v>
      </c>
      <c r="K251">
        <v>-2.77</v>
      </c>
      <c r="L251" t="s">
        <v>15</v>
      </c>
      <c r="M251">
        <v>1.53</v>
      </c>
      <c r="N251">
        <v>-8.5000000000000006E-3</v>
      </c>
    </row>
    <row r="252" spans="1:14" x14ac:dyDescent="0.35">
      <c r="A252" s="1">
        <v>45987</v>
      </c>
      <c r="B252" s="4">
        <v>45987</v>
      </c>
      <c r="C252" t="s">
        <v>41</v>
      </c>
      <c r="E252" s="2" t="str">
        <f>edit!F252</f>
        <v>bullish</v>
      </c>
      <c r="G252">
        <v>637.69000000000005</v>
      </c>
      <c r="H252">
        <v>638.36</v>
      </c>
      <c r="I252">
        <v>631.63</v>
      </c>
      <c r="J252">
        <v>633.61</v>
      </c>
      <c r="K252">
        <v>-4.08</v>
      </c>
      <c r="L252" t="s">
        <v>15</v>
      </c>
      <c r="M252">
        <v>-0.41</v>
      </c>
      <c r="N252">
        <v>-6.4000000000000003E-3</v>
      </c>
    </row>
    <row r="253" spans="1:14" x14ac:dyDescent="0.35">
      <c r="A253" s="1">
        <v>45987</v>
      </c>
      <c r="B253" s="4">
        <v>45987</v>
      </c>
      <c r="C253" t="s">
        <v>27</v>
      </c>
      <c r="E253" s="2" t="str">
        <f>edit!F253</f>
        <v>bearish</v>
      </c>
      <c r="G253">
        <v>181.63</v>
      </c>
      <c r="H253">
        <v>182.91</v>
      </c>
      <c r="I253">
        <v>178.24</v>
      </c>
      <c r="J253">
        <v>180.26</v>
      </c>
      <c r="K253">
        <v>-1.37</v>
      </c>
      <c r="L253" t="s">
        <v>15</v>
      </c>
      <c r="M253">
        <v>1.37</v>
      </c>
      <c r="N253">
        <v>-7.4999999999999997E-3</v>
      </c>
    </row>
    <row r="254" spans="1:14" x14ac:dyDescent="0.35">
      <c r="A254" s="1">
        <v>45987</v>
      </c>
      <c r="B254" s="4">
        <v>45987</v>
      </c>
      <c r="C254" t="s">
        <v>29</v>
      </c>
      <c r="E254" s="2" t="str">
        <f>edit!F254</f>
        <v>bullish</v>
      </c>
      <c r="G254">
        <v>230.74</v>
      </c>
      <c r="H254">
        <v>231.75</v>
      </c>
      <c r="I254">
        <v>228.77</v>
      </c>
      <c r="J254">
        <v>229.16</v>
      </c>
      <c r="K254">
        <v>-1.58</v>
      </c>
      <c r="L254" t="s">
        <v>15</v>
      </c>
      <c r="M254">
        <v>-0.22</v>
      </c>
      <c r="N254">
        <v>-6.7999999999999996E-3</v>
      </c>
    </row>
    <row r="255" spans="1:14" x14ac:dyDescent="0.35">
      <c r="A255" s="1">
        <v>45987</v>
      </c>
      <c r="B255" s="4">
        <v>45987</v>
      </c>
      <c r="C255" s="2" t="str">
        <f>edit!C255</f>
        <v>KSS</v>
      </c>
      <c r="D255" s="2"/>
      <c r="E255" s="2" t="str">
        <f>edit!F255</f>
        <v>bearish</v>
      </c>
      <c r="F255" s="2"/>
      <c r="G255" s="2"/>
      <c r="H255" s="2"/>
      <c r="I255" s="2"/>
      <c r="J255" s="2"/>
      <c r="K255" s="2"/>
      <c r="L255" t="s">
        <v>15</v>
      </c>
    </row>
    <row r="256" spans="1:14" x14ac:dyDescent="0.35">
      <c r="A256" s="1">
        <v>45987</v>
      </c>
      <c r="B256" s="4">
        <v>45987</v>
      </c>
      <c r="C256" s="2" t="str">
        <f>edit!C256</f>
        <v>PARAA</v>
      </c>
      <c r="D256" s="2"/>
      <c r="E256" s="2" t="str">
        <f>edit!F256</f>
        <v>bearish</v>
      </c>
      <c r="F256" s="2"/>
      <c r="G256" s="2"/>
      <c r="H256" s="2"/>
      <c r="I256" s="2"/>
      <c r="J256" s="2"/>
      <c r="K256" s="2"/>
      <c r="L256" t="s">
        <v>15</v>
      </c>
    </row>
    <row r="257" spans="1:14" x14ac:dyDescent="0.35">
      <c r="A257" s="1">
        <v>45988</v>
      </c>
      <c r="B257" s="4">
        <v>45988</v>
      </c>
      <c r="C257" t="s">
        <v>27</v>
      </c>
      <c r="E257" s="2" t="str">
        <f>edit!F257</f>
        <v>bullish</v>
      </c>
      <c r="G257">
        <v>181.63</v>
      </c>
      <c r="H257">
        <v>182.91</v>
      </c>
      <c r="I257">
        <v>178.24</v>
      </c>
      <c r="J257">
        <v>180.26</v>
      </c>
      <c r="K257">
        <v>-1.37</v>
      </c>
      <c r="L257" t="s">
        <v>15</v>
      </c>
      <c r="M257">
        <v>1.37</v>
      </c>
      <c r="N257">
        <v>-7.4999999999999997E-3</v>
      </c>
    </row>
    <row r="258" spans="1:14" x14ac:dyDescent="0.35">
      <c r="A258" s="1">
        <v>45988</v>
      </c>
      <c r="B258" s="4">
        <v>45988</v>
      </c>
      <c r="C258" t="s">
        <v>28</v>
      </c>
      <c r="E258" s="2" t="str">
        <f>edit!F258</f>
        <v>bearish</v>
      </c>
      <c r="G258">
        <v>276.95999999999998</v>
      </c>
      <c r="H258">
        <v>279.52999999999997</v>
      </c>
      <c r="I258">
        <v>276.63</v>
      </c>
      <c r="J258">
        <v>277.55</v>
      </c>
      <c r="K258">
        <v>0.59</v>
      </c>
      <c r="L258" t="s">
        <v>15</v>
      </c>
      <c r="M258">
        <v>0.21</v>
      </c>
      <c r="N258">
        <v>2.0999999999999999E-3</v>
      </c>
    </row>
    <row r="259" spans="1:14" x14ac:dyDescent="0.35">
      <c r="A259" s="1">
        <v>45988</v>
      </c>
      <c r="B259" s="4">
        <v>45988</v>
      </c>
      <c r="C259" t="s">
        <v>29</v>
      </c>
      <c r="E259" s="2" t="str">
        <f>edit!F259</f>
        <v>bullish</v>
      </c>
      <c r="G259">
        <v>230.74</v>
      </c>
      <c r="H259">
        <v>231.75</v>
      </c>
      <c r="I259">
        <v>228.77</v>
      </c>
      <c r="J259">
        <v>229.16</v>
      </c>
      <c r="K259">
        <v>-1.58</v>
      </c>
      <c r="L259" t="s">
        <v>15</v>
      </c>
      <c r="M259">
        <v>-0.22</v>
      </c>
      <c r="N259">
        <v>-6.7999999999999996E-3</v>
      </c>
    </row>
    <row r="260" spans="1:14" x14ac:dyDescent="0.35">
      <c r="A260" s="1">
        <v>45988</v>
      </c>
      <c r="B260" s="4">
        <v>45988</v>
      </c>
      <c r="C260" t="s">
        <v>63</v>
      </c>
      <c r="E260" s="2" t="str">
        <f>edit!F260</f>
        <v>bearish</v>
      </c>
      <c r="G260">
        <v>103.32</v>
      </c>
      <c r="H260">
        <v>104.25</v>
      </c>
      <c r="I260">
        <v>102.88</v>
      </c>
      <c r="J260">
        <v>103.43</v>
      </c>
      <c r="K260">
        <v>0.11</v>
      </c>
      <c r="L260" t="s">
        <v>15</v>
      </c>
      <c r="M260">
        <v>0.12</v>
      </c>
      <c r="N260">
        <v>1.1000000000000001E-3</v>
      </c>
    </row>
    <row r="261" spans="1:14" x14ac:dyDescent="0.35">
      <c r="A261" s="1">
        <v>45988</v>
      </c>
      <c r="B261" s="4">
        <v>45988</v>
      </c>
      <c r="C261" t="s">
        <v>41</v>
      </c>
      <c r="E261" s="2" t="str">
        <f>edit!F261</f>
        <v>bullish</v>
      </c>
      <c r="G261">
        <v>637.69000000000005</v>
      </c>
      <c r="H261">
        <v>638.36</v>
      </c>
      <c r="I261">
        <v>631.63</v>
      </c>
      <c r="J261">
        <v>633.61</v>
      </c>
      <c r="K261">
        <v>-4.08</v>
      </c>
      <c r="L261" t="s">
        <v>15</v>
      </c>
      <c r="M261">
        <v>-0.41</v>
      </c>
      <c r="N261">
        <v>-6.4000000000000003E-3</v>
      </c>
    </row>
    <row r="262" spans="1:14" x14ac:dyDescent="0.35">
      <c r="A262" s="1">
        <v>45989</v>
      </c>
      <c r="B262" s="4">
        <v>45989</v>
      </c>
      <c r="C262" s="2" t="str">
        <f>edit!C262</f>
        <v>NVDA</v>
      </c>
      <c r="D262" s="2"/>
      <c r="E262" s="2" t="s">
        <v>14</v>
      </c>
      <c r="F262" s="2"/>
      <c r="G262" s="2"/>
      <c r="H262" s="2"/>
      <c r="I262" s="2"/>
      <c r="J262" s="2"/>
      <c r="K262" s="2"/>
      <c r="L262" t="s">
        <v>15</v>
      </c>
    </row>
    <row r="263" spans="1:14" x14ac:dyDescent="0.35">
      <c r="A263" s="1">
        <v>45989</v>
      </c>
      <c r="B263" s="4">
        <v>45989</v>
      </c>
      <c r="C263" s="2" t="str">
        <f>edit!C263</f>
        <v>GOOGL</v>
      </c>
      <c r="D263" s="2"/>
      <c r="E263" s="2" t="s">
        <v>14</v>
      </c>
      <c r="F263" s="2"/>
      <c r="G263" s="2"/>
      <c r="H263" s="2"/>
      <c r="I263" s="2"/>
      <c r="J263" s="2"/>
      <c r="K263" s="2"/>
      <c r="L263" t="s">
        <v>15</v>
      </c>
    </row>
    <row r="264" spans="1:14" x14ac:dyDescent="0.35">
      <c r="A264" s="1">
        <v>45989</v>
      </c>
      <c r="B264" s="4">
        <v>45989</v>
      </c>
      <c r="C264" s="2" t="str">
        <f>edit!C264</f>
        <v>AAPL</v>
      </c>
      <c r="D264" s="2"/>
      <c r="E264" s="2" t="s">
        <v>17</v>
      </c>
      <c r="F264" s="2"/>
      <c r="G264" s="2"/>
      <c r="H264" s="2"/>
      <c r="I264" s="2"/>
      <c r="J264" s="2"/>
      <c r="K264" s="2"/>
      <c r="L264" t="s">
        <v>15</v>
      </c>
    </row>
    <row r="265" spans="1:14" x14ac:dyDescent="0.35">
      <c r="A265" s="1">
        <v>45989</v>
      </c>
      <c r="B265" s="4">
        <v>45989</v>
      </c>
      <c r="C265" t="s">
        <v>41</v>
      </c>
      <c r="E265" s="2" t="s">
        <v>14</v>
      </c>
      <c r="G265">
        <v>636.08000000000004</v>
      </c>
      <c r="H265">
        <v>648.04999999999995</v>
      </c>
      <c r="I265">
        <v>635.5</v>
      </c>
      <c r="J265">
        <v>647.95000000000005</v>
      </c>
      <c r="K265">
        <v>11.87</v>
      </c>
      <c r="L265" t="s">
        <v>15</v>
      </c>
      <c r="M265">
        <v>2.2599999999999998</v>
      </c>
      <c r="N265">
        <v>1.8700000000000001E-2</v>
      </c>
    </row>
    <row r="266" spans="1:14" x14ac:dyDescent="0.35">
      <c r="A266" s="1">
        <v>45989</v>
      </c>
      <c r="B266" s="4">
        <v>45989</v>
      </c>
      <c r="C266" s="2" t="str">
        <f>edit!C266</f>
        <v>SFTBY</v>
      </c>
      <c r="D266" s="2"/>
      <c r="E266" s="2" t="s">
        <v>17</v>
      </c>
      <c r="F266" s="2"/>
      <c r="G266" s="2"/>
      <c r="H266" s="2"/>
      <c r="I266" s="2"/>
      <c r="J266" s="2"/>
      <c r="K266" s="2"/>
      <c r="L266" t="s">
        <v>15</v>
      </c>
    </row>
  </sheetData>
  <autoFilter ref="A1:N266" xr:uid="{2BFA5391-7281-4282-A16C-0DAC518F87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5391-7281-4282-A16C-0DAC518F8728}">
  <dimension ref="A1:P266"/>
  <sheetViews>
    <sheetView workbookViewId="0">
      <pane ySplit="1" topLeftCell="A211" activePane="bottomLeft" state="frozen"/>
      <selection pane="bottomLeft" activeCell="C267" sqref="C267"/>
    </sheetView>
  </sheetViews>
  <sheetFormatPr defaultRowHeight="14.5" x14ac:dyDescent="0.35"/>
  <cols>
    <col min="1" max="1" width="10.08984375" bestFit="1" customWidth="1"/>
    <col min="2" max="2" width="10.08984375" style="4" bestFit="1" customWidth="1"/>
    <col min="3" max="4" width="10.54296875" bestFit="1" customWidth="1"/>
    <col min="5" max="5" width="4.81640625" bestFit="1" customWidth="1"/>
    <col min="6" max="6" width="6.81640625" bestFit="1" customWidth="1"/>
    <col min="7" max="7" width="12.08984375" bestFit="1" customWidth="1"/>
    <col min="8" max="11" width="6.81640625" bestFit="1" customWidth="1"/>
    <col min="12" max="12" width="10.453125" bestFit="1" customWidth="1"/>
    <col min="13" max="13" width="11.81640625" bestFit="1" customWidth="1"/>
    <col min="14" max="14" width="14.08984375" bestFit="1" customWidth="1"/>
    <col min="15" max="15" width="13.6328125" bestFit="1" customWidth="1"/>
    <col min="16" max="16" width="17.7265625" style="2" bestFit="1" customWidth="1"/>
  </cols>
  <sheetData>
    <row r="1" spans="1:15" x14ac:dyDescent="0.35">
      <c r="A1" t="s">
        <v>0</v>
      </c>
      <c r="B1" s="4" t="s">
        <v>0</v>
      </c>
      <c r="C1" t="s">
        <v>108</v>
      </c>
      <c r="D1" t="s">
        <v>109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1">
        <v>45953</v>
      </c>
      <c r="B2" s="4">
        <v>45953</v>
      </c>
      <c r="C2" t="s">
        <v>13</v>
      </c>
      <c r="D2" t="s">
        <v>13</v>
      </c>
      <c r="E2">
        <v>1</v>
      </c>
      <c r="F2" t="s">
        <v>14</v>
      </c>
      <c r="G2">
        <v>1</v>
      </c>
      <c r="H2">
        <v>521.48</v>
      </c>
      <c r="I2">
        <v>522.97</v>
      </c>
      <c r="J2">
        <v>517.64</v>
      </c>
      <c r="K2">
        <v>519.59</v>
      </c>
      <c r="L2">
        <v>-1.89</v>
      </c>
      <c r="M2" t="s">
        <v>15</v>
      </c>
      <c r="N2">
        <v>0</v>
      </c>
      <c r="O2">
        <v>-3.5999999999999999E-3</v>
      </c>
    </row>
    <row r="3" spans="1:15" x14ac:dyDescent="0.35">
      <c r="A3" s="1">
        <v>45953</v>
      </c>
      <c r="B3" s="4">
        <v>45953</v>
      </c>
      <c r="C3" t="s">
        <v>16</v>
      </c>
      <c r="D3" t="s">
        <v>16</v>
      </c>
      <c r="E3">
        <v>2</v>
      </c>
      <c r="F3" t="s">
        <v>17</v>
      </c>
      <c r="G3">
        <v>1</v>
      </c>
      <c r="H3">
        <v>420</v>
      </c>
      <c r="I3">
        <v>449.4</v>
      </c>
      <c r="J3">
        <v>413.9</v>
      </c>
      <c r="K3">
        <v>448.98</v>
      </c>
      <c r="L3">
        <v>28.98</v>
      </c>
      <c r="M3" t="s">
        <v>15</v>
      </c>
      <c r="N3">
        <v>2.2799999999999998</v>
      </c>
      <c r="O3">
        <v>6.9000000000000006E-2</v>
      </c>
    </row>
    <row r="4" spans="1:15" x14ac:dyDescent="0.35">
      <c r="A4" s="1">
        <v>45953</v>
      </c>
      <c r="B4" s="4">
        <v>45953</v>
      </c>
      <c r="C4" t="s">
        <v>18</v>
      </c>
      <c r="D4" t="s">
        <v>18</v>
      </c>
      <c r="E4">
        <v>3</v>
      </c>
      <c r="F4" t="s">
        <v>14</v>
      </c>
      <c r="G4">
        <v>1</v>
      </c>
      <c r="H4">
        <v>201.43</v>
      </c>
      <c r="I4">
        <v>208.44</v>
      </c>
      <c r="J4">
        <v>200.73</v>
      </c>
      <c r="K4">
        <v>206.74</v>
      </c>
      <c r="L4">
        <v>5.31</v>
      </c>
      <c r="M4" t="s">
        <v>15</v>
      </c>
      <c r="N4">
        <v>6.81</v>
      </c>
      <c r="O4">
        <v>2.64E-2</v>
      </c>
    </row>
    <row r="5" spans="1:15" x14ac:dyDescent="0.35">
      <c r="A5" s="1">
        <v>45953</v>
      </c>
      <c r="B5" s="4">
        <v>45953</v>
      </c>
      <c r="C5" t="s">
        <v>19</v>
      </c>
      <c r="D5" t="s">
        <v>19</v>
      </c>
      <c r="E5">
        <v>4</v>
      </c>
      <c r="F5" t="s">
        <v>14</v>
      </c>
      <c r="G5">
        <v>1</v>
      </c>
      <c r="H5">
        <v>12.74</v>
      </c>
      <c r="I5">
        <v>13.04</v>
      </c>
      <c r="J5">
        <v>12.35</v>
      </c>
      <c r="K5">
        <v>12.77</v>
      </c>
      <c r="L5">
        <v>0.03</v>
      </c>
      <c r="M5" t="s">
        <v>15</v>
      </c>
      <c r="N5">
        <v>5.62</v>
      </c>
      <c r="O5">
        <v>2.3999999999999998E-3</v>
      </c>
    </row>
    <row r="6" spans="1:15" x14ac:dyDescent="0.35">
      <c r="A6" s="1">
        <v>45954</v>
      </c>
      <c r="B6" s="4">
        <v>45954</v>
      </c>
      <c r="C6" t="s">
        <v>20</v>
      </c>
      <c r="D6" t="s">
        <v>20</v>
      </c>
      <c r="E6">
        <v>8</v>
      </c>
      <c r="F6" t="s">
        <v>14</v>
      </c>
      <c r="G6">
        <v>1</v>
      </c>
      <c r="H6">
        <v>243.36</v>
      </c>
      <c r="I6">
        <v>253.39</v>
      </c>
      <c r="J6">
        <v>241.95</v>
      </c>
      <c r="K6">
        <v>252.92</v>
      </c>
      <c r="L6">
        <v>9.56</v>
      </c>
      <c r="M6" t="s">
        <v>15</v>
      </c>
      <c r="N6">
        <v>7.63</v>
      </c>
      <c r="O6">
        <v>3.9300000000000002E-2</v>
      </c>
    </row>
    <row r="7" spans="1:15" x14ac:dyDescent="0.35">
      <c r="A7" s="1">
        <v>45954</v>
      </c>
      <c r="B7" s="4">
        <v>45954</v>
      </c>
      <c r="C7" t="s">
        <v>13</v>
      </c>
      <c r="D7" t="s">
        <v>13</v>
      </c>
      <c r="E7">
        <v>9</v>
      </c>
      <c r="F7" t="s">
        <v>21</v>
      </c>
      <c r="G7">
        <v>1</v>
      </c>
      <c r="H7">
        <v>521.80999999999995</v>
      </c>
      <c r="I7">
        <v>524.37</v>
      </c>
      <c r="J7">
        <v>519.74</v>
      </c>
      <c r="K7">
        <v>522.63</v>
      </c>
      <c r="L7">
        <v>0.82</v>
      </c>
      <c r="M7" t="s">
        <v>15</v>
      </c>
      <c r="N7">
        <v>0.59</v>
      </c>
      <c r="O7">
        <v>1.6000000000000001E-3</v>
      </c>
    </row>
    <row r="8" spans="1:15" x14ac:dyDescent="0.35">
      <c r="A8" s="1">
        <v>45954</v>
      </c>
      <c r="B8" s="4">
        <v>45954</v>
      </c>
      <c r="C8" t="s">
        <v>22</v>
      </c>
      <c r="D8" t="s">
        <v>22</v>
      </c>
      <c r="E8">
        <v>10</v>
      </c>
      <c r="F8" t="s">
        <v>17</v>
      </c>
      <c r="G8">
        <v>1</v>
      </c>
      <c r="H8">
        <v>67.459999999999994</v>
      </c>
      <c r="I8">
        <v>69.7</v>
      </c>
      <c r="J8">
        <v>67.290000000000006</v>
      </c>
      <c r="K8">
        <v>69.66</v>
      </c>
      <c r="L8">
        <v>2.2000000000000002</v>
      </c>
      <c r="M8" t="s">
        <v>15</v>
      </c>
      <c r="N8">
        <v>4.2</v>
      </c>
      <c r="O8">
        <v>3.2599999999999997E-2</v>
      </c>
    </row>
    <row r="9" spans="1:15" x14ac:dyDescent="0.35">
      <c r="A9" s="1">
        <v>45954</v>
      </c>
      <c r="B9" s="4">
        <v>45954</v>
      </c>
      <c r="C9" t="s">
        <v>16</v>
      </c>
      <c r="D9" t="s">
        <v>16</v>
      </c>
      <c r="E9">
        <v>11</v>
      </c>
      <c r="F9" t="s">
        <v>14</v>
      </c>
      <c r="G9">
        <v>1</v>
      </c>
      <c r="H9">
        <v>446.83</v>
      </c>
      <c r="I9">
        <v>451.68</v>
      </c>
      <c r="J9">
        <v>430.17</v>
      </c>
      <c r="K9">
        <v>433.72</v>
      </c>
      <c r="L9">
        <v>-13.11</v>
      </c>
      <c r="M9" t="s">
        <v>15</v>
      </c>
      <c r="N9">
        <v>-3.4</v>
      </c>
      <c r="O9">
        <v>-2.93E-2</v>
      </c>
    </row>
    <row r="10" spans="1:15" x14ac:dyDescent="0.35">
      <c r="A10" s="1">
        <v>45954</v>
      </c>
      <c r="B10" s="4">
        <v>45954</v>
      </c>
      <c r="C10" t="s">
        <v>23</v>
      </c>
      <c r="D10" t="s">
        <v>23</v>
      </c>
      <c r="E10">
        <v>12</v>
      </c>
      <c r="F10" t="s">
        <v>14</v>
      </c>
      <c r="G10">
        <v>1</v>
      </c>
      <c r="H10">
        <v>156.4</v>
      </c>
      <c r="I10">
        <v>157.4</v>
      </c>
      <c r="J10">
        <v>151.53</v>
      </c>
      <c r="K10">
        <v>152.49</v>
      </c>
      <c r="L10">
        <v>-3.91</v>
      </c>
      <c r="M10" t="s">
        <v>15</v>
      </c>
      <c r="N10">
        <v>0.88</v>
      </c>
      <c r="O10">
        <v>-2.5000000000000001E-2</v>
      </c>
    </row>
    <row r="11" spans="1:15" x14ac:dyDescent="0.35">
      <c r="A11" s="1">
        <v>45954</v>
      </c>
      <c r="B11" s="4">
        <v>45954</v>
      </c>
      <c r="C11" t="s">
        <v>20</v>
      </c>
      <c r="D11" t="s">
        <v>20</v>
      </c>
      <c r="E11">
        <v>13</v>
      </c>
      <c r="H11">
        <v>243.36</v>
      </c>
      <c r="I11">
        <v>253.39</v>
      </c>
      <c r="J11">
        <v>241.95</v>
      </c>
      <c r="K11">
        <v>252.92</v>
      </c>
      <c r="L11">
        <v>9.56</v>
      </c>
      <c r="M11" t="s">
        <v>15</v>
      </c>
      <c r="N11">
        <v>7.63</v>
      </c>
      <c r="O11">
        <v>3.9300000000000002E-2</v>
      </c>
    </row>
    <row r="12" spans="1:15" x14ac:dyDescent="0.35">
      <c r="A12" s="1">
        <v>45954</v>
      </c>
      <c r="B12" s="4">
        <v>45954</v>
      </c>
      <c r="C12" t="s">
        <v>13</v>
      </c>
      <c r="D12" t="s">
        <v>13</v>
      </c>
      <c r="E12">
        <v>14</v>
      </c>
      <c r="H12">
        <v>521.80999999999995</v>
      </c>
      <c r="I12">
        <v>524.37</v>
      </c>
      <c r="J12">
        <v>519.74</v>
      </c>
      <c r="K12">
        <v>522.63</v>
      </c>
      <c r="L12">
        <v>0.82</v>
      </c>
      <c r="M12" t="s">
        <v>15</v>
      </c>
      <c r="N12">
        <v>0.59</v>
      </c>
      <c r="O12">
        <v>1.6000000000000001E-3</v>
      </c>
    </row>
    <row r="13" spans="1:15" x14ac:dyDescent="0.35">
      <c r="A13" s="1">
        <v>45954</v>
      </c>
      <c r="B13" s="4">
        <v>45954</v>
      </c>
      <c r="C13" t="s">
        <v>22</v>
      </c>
      <c r="D13" t="s">
        <v>22</v>
      </c>
      <c r="E13">
        <v>15</v>
      </c>
      <c r="H13">
        <v>67.459999999999994</v>
      </c>
      <c r="I13">
        <v>69.7</v>
      </c>
      <c r="J13">
        <v>67.290000000000006</v>
      </c>
      <c r="K13">
        <v>69.66</v>
      </c>
      <c r="L13">
        <v>2.2000000000000002</v>
      </c>
      <c r="M13" t="s">
        <v>15</v>
      </c>
      <c r="N13">
        <v>4.2</v>
      </c>
      <c r="O13">
        <v>3.2599999999999997E-2</v>
      </c>
    </row>
    <row r="14" spans="1:15" x14ac:dyDescent="0.35">
      <c r="A14" s="1">
        <v>45954</v>
      </c>
      <c r="B14" s="4">
        <v>45954</v>
      </c>
      <c r="C14" t="s">
        <v>16</v>
      </c>
      <c r="D14" t="s">
        <v>16</v>
      </c>
      <c r="E14">
        <v>16</v>
      </c>
      <c r="H14">
        <v>446.83</v>
      </c>
      <c r="I14">
        <v>451.68</v>
      </c>
      <c r="J14">
        <v>430.17</v>
      </c>
      <c r="K14">
        <v>433.72</v>
      </c>
      <c r="L14">
        <v>-13.11</v>
      </c>
      <c r="M14" t="s">
        <v>15</v>
      </c>
      <c r="N14">
        <v>-3.4</v>
      </c>
      <c r="O14">
        <v>-2.93E-2</v>
      </c>
    </row>
    <row r="15" spans="1:15" x14ac:dyDescent="0.35">
      <c r="A15" s="1">
        <v>45954</v>
      </c>
      <c r="B15" s="4">
        <v>45954</v>
      </c>
      <c r="C15" t="s">
        <v>23</v>
      </c>
      <c r="D15" t="s">
        <v>23</v>
      </c>
      <c r="E15">
        <v>17</v>
      </c>
      <c r="H15">
        <v>156.4</v>
      </c>
      <c r="I15">
        <v>157.4</v>
      </c>
      <c r="J15">
        <v>151.53</v>
      </c>
      <c r="K15">
        <v>152.49</v>
      </c>
      <c r="L15">
        <v>-3.91</v>
      </c>
      <c r="M15" t="s">
        <v>15</v>
      </c>
      <c r="N15">
        <v>0.88</v>
      </c>
      <c r="O15">
        <v>-2.5000000000000001E-2</v>
      </c>
    </row>
    <row r="16" spans="1:15" x14ac:dyDescent="0.35">
      <c r="A16" s="1">
        <v>45954</v>
      </c>
      <c r="B16" s="4">
        <v>45954</v>
      </c>
      <c r="C16" t="s">
        <v>20</v>
      </c>
      <c r="D16" t="s">
        <v>20</v>
      </c>
      <c r="E16">
        <v>18</v>
      </c>
      <c r="H16">
        <v>243.36</v>
      </c>
      <c r="I16">
        <v>253.39</v>
      </c>
      <c r="J16">
        <v>241.95</v>
      </c>
      <c r="K16">
        <v>252.92</v>
      </c>
      <c r="L16">
        <v>9.56</v>
      </c>
      <c r="M16" t="s">
        <v>15</v>
      </c>
      <c r="N16">
        <v>7.63</v>
      </c>
      <c r="O16">
        <v>3.9300000000000002E-2</v>
      </c>
    </row>
    <row r="17" spans="1:15" x14ac:dyDescent="0.35">
      <c r="A17" s="1">
        <v>45954</v>
      </c>
      <c r="B17" s="4">
        <v>45954</v>
      </c>
      <c r="C17" t="s">
        <v>13</v>
      </c>
      <c r="D17" t="s">
        <v>13</v>
      </c>
      <c r="E17">
        <v>19</v>
      </c>
      <c r="H17">
        <v>521.80999999999995</v>
      </c>
      <c r="I17">
        <v>524.37</v>
      </c>
      <c r="J17">
        <v>519.74</v>
      </c>
      <c r="K17">
        <v>522.63</v>
      </c>
      <c r="L17">
        <v>0.82</v>
      </c>
      <c r="M17" t="s">
        <v>15</v>
      </c>
      <c r="N17">
        <v>0.59</v>
      </c>
      <c r="O17">
        <v>1.6000000000000001E-3</v>
      </c>
    </row>
    <row r="18" spans="1:15" x14ac:dyDescent="0.35">
      <c r="A18" s="1">
        <v>45954</v>
      </c>
      <c r="B18" s="4">
        <v>45954</v>
      </c>
      <c r="C18" t="s">
        <v>19</v>
      </c>
      <c r="D18" t="s">
        <v>19</v>
      </c>
      <c r="E18">
        <v>20</v>
      </c>
      <c r="F18" t="s">
        <v>14</v>
      </c>
      <c r="G18">
        <v>1</v>
      </c>
      <c r="H18">
        <v>13</v>
      </c>
      <c r="I18">
        <v>13.89</v>
      </c>
      <c r="J18">
        <v>12.9</v>
      </c>
      <c r="K18">
        <v>13.78</v>
      </c>
      <c r="L18">
        <v>0.78</v>
      </c>
      <c r="M18" t="s">
        <v>15</v>
      </c>
      <c r="N18">
        <v>7.91</v>
      </c>
      <c r="O18">
        <v>0.06</v>
      </c>
    </row>
    <row r="19" spans="1:15" x14ac:dyDescent="0.35">
      <c r="A19" s="1">
        <v>45954</v>
      </c>
      <c r="B19" s="4">
        <v>45954</v>
      </c>
      <c r="C19" t="s">
        <v>18</v>
      </c>
      <c r="D19" t="s">
        <v>18</v>
      </c>
      <c r="E19">
        <v>21</v>
      </c>
      <c r="F19" t="s">
        <v>14</v>
      </c>
      <c r="G19">
        <v>1</v>
      </c>
      <c r="H19">
        <v>206.99</v>
      </c>
      <c r="I19">
        <v>206.99</v>
      </c>
      <c r="J19">
        <v>201.2</v>
      </c>
      <c r="K19">
        <v>202.5</v>
      </c>
      <c r="L19">
        <v>-4.49</v>
      </c>
      <c r="M19" t="s">
        <v>15</v>
      </c>
      <c r="N19">
        <v>-2.0499999999999998</v>
      </c>
      <c r="O19">
        <v>-2.1700000000000001E-2</v>
      </c>
    </row>
    <row r="20" spans="1:15" x14ac:dyDescent="0.35">
      <c r="A20" s="1">
        <v>45954</v>
      </c>
      <c r="B20" s="4">
        <v>45954</v>
      </c>
      <c r="C20" t="s">
        <v>22</v>
      </c>
      <c r="D20" t="s">
        <v>22</v>
      </c>
      <c r="E20">
        <v>22</v>
      </c>
      <c r="H20">
        <v>67.459999999999994</v>
      </c>
      <c r="I20">
        <v>69.7</v>
      </c>
      <c r="J20">
        <v>67.290000000000006</v>
      </c>
      <c r="K20">
        <v>69.66</v>
      </c>
      <c r="L20">
        <v>2.2000000000000002</v>
      </c>
      <c r="M20" t="s">
        <v>15</v>
      </c>
      <c r="N20">
        <v>4.2</v>
      </c>
      <c r="O20">
        <v>3.2599999999999997E-2</v>
      </c>
    </row>
    <row r="21" spans="1:15" x14ac:dyDescent="0.35">
      <c r="A21" s="1">
        <v>45955</v>
      </c>
      <c r="B21" s="4">
        <v>45955</v>
      </c>
      <c r="C21" t="s">
        <v>20</v>
      </c>
      <c r="D21" t="s">
        <v>20</v>
      </c>
      <c r="E21">
        <v>23</v>
      </c>
      <c r="F21" t="s">
        <v>14</v>
      </c>
      <c r="G21">
        <v>1</v>
      </c>
      <c r="H21">
        <v>243.36</v>
      </c>
      <c r="I21">
        <v>253.39</v>
      </c>
      <c r="J21">
        <v>241.95</v>
      </c>
      <c r="K21">
        <v>252.92</v>
      </c>
      <c r="L21">
        <v>9.56</v>
      </c>
      <c r="M21" t="s">
        <v>15</v>
      </c>
      <c r="N21">
        <v>7.63</v>
      </c>
      <c r="O21">
        <v>3.9300000000000002E-2</v>
      </c>
    </row>
    <row r="22" spans="1:15" x14ac:dyDescent="0.35">
      <c r="A22" s="1">
        <v>45955</v>
      </c>
      <c r="B22" s="4">
        <v>45955</v>
      </c>
      <c r="C22" t="s">
        <v>13</v>
      </c>
      <c r="D22" t="s">
        <v>13</v>
      </c>
      <c r="E22">
        <v>24</v>
      </c>
      <c r="F22" t="s">
        <v>14</v>
      </c>
      <c r="G22">
        <v>1</v>
      </c>
      <c r="H22">
        <v>521.80999999999995</v>
      </c>
      <c r="I22">
        <v>524.37</v>
      </c>
      <c r="J22">
        <v>519.74</v>
      </c>
      <c r="K22">
        <v>522.63</v>
      </c>
      <c r="L22">
        <v>0.82</v>
      </c>
      <c r="M22" t="s">
        <v>15</v>
      </c>
      <c r="N22">
        <v>0.59</v>
      </c>
      <c r="O22">
        <v>1.6000000000000001E-3</v>
      </c>
    </row>
    <row r="23" spans="1:15" x14ac:dyDescent="0.35">
      <c r="A23" s="1">
        <v>45955</v>
      </c>
      <c r="B23" s="4">
        <v>45955</v>
      </c>
      <c r="C23" t="s">
        <v>19</v>
      </c>
      <c r="D23" t="s">
        <v>19</v>
      </c>
      <c r="E23">
        <v>25</v>
      </c>
      <c r="F23" t="s">
        <v>14</v>
      </c>
      <c r="G23">
        <v>1</v>
      </c>
      <c r="H23">
        <v>13</v>
      </c>
      <c r="I23">
        <v>13.89</v>
      </c>
      <c r="J23">
        <v>12.9</v>
      </c>
      <c r="K23">
        <v>13.78</v>
      </c>
      <c r="L23">
        <v>0.78</v>
      </c>
      <c r="M23" t="s">
        <v>15</v>
      </c>
      <c r="N23">
        <v>7.91</v>
      </c>
      <c r="O23">
        <v>0.06</v>
      </c>
    </row>
    <row r="24" spans="1:15" x14ac:dyDescent="0.35">
      <c r="A24" s="1">
        <v>45955</v>
      </c>
      <c r="B24" s="4">
        <v>45955</v>
      </c>
      <c r="C24" t="s">
        <v>18</v>
      </c>
      <c r="D24" t="s">
        <v>18</v>
      </c>
      <c r="E24">
        <v>26</v>
      </c>
      <c r="F24" t="s">
        <v>14</v>
      </c>
      <c r="G24">
        <v>1</v>
      </c>
      <c r="H24">
        <v>206.99</v>
      </c>
      <c r="I24">
        <v>206.99</v>
      </c>
      <c r="J24">
        <v>201.2</v>
      </c>
      <c r="K24">
        <v>202.5</v>
      </c>
      <c r="L24">
        <v>-4.49</v>
      </c>
      <c r="M24" t="s">
        <v>15</v>
      </c>
      <c r="N24">
        <v>-2.0499999999999998</v>
      </c>
      <c r="O24">
        <v>-2.1700000000000001E-2</v>
      </c>
    </row>
    <row r="25" spans="1:15" x14ac:dyDescent="0.35">
      <c r="A25" s="1">
        <v>45955</v>
      </c>
      <c r="B25" s="4">
        <v>45955</v>
      </c>
      <c r="C25" t="s">
        <v>24</v>
      </c>
      <c r="D25" t="s">
        <v>24</v>
      </c>
      <c r="E25">
        <v>27</v>
      </c>
      <c r="F25" t="s">
        <v>17</v>
      </c>
      <c r="G25">
        <v>1</v>
      </c>
      <c r="H25">
        <v>24.27</v>
      </c>
      <c r="I25">
        <v>24.4</v>
      </c>
      <c r="J25">
        <v>24.25</v>
      </c>
      <c r="K25">
        <v>24.33</v>
      </c>
      <c r="L25">
        <v>0.06</v>
      </c>
      <c r="M25" t="s">
        <v>15</v>
      </c>
      <c r="N25">
        <v>0.36</v>
      </c>
      <c r="O25">
        <v>2.5000000000000001E-3</v>
      </c>
    </row>
    <row r="26" spans="1:15" x14ac:dyDescent="0.35">
      <c r="A26" s="1">
        <v>45956</v>
      </c>
      <c r="B26" s="4">
        <v>45956</v>
      </c>
      <c r="C26" t="s">
        <v>20</v>
      </c>
      <c r="D26" t="s">
        <v>20</v>
      </c>
      <c r="E26">
        <v>28</v>
      </c>
      <c r="F26" t="s">
        <v>14</v>
      </c>
      <c r="G26">
        <v>1</v>
      </c>
      <c r="H26">
        <v>243.36</v>
      </c>
      <c r="I26">
        <v>253.39</v>
      </c>
      <c r="J26">
        <v>241.95</v>
      </c>
      <c r="K26">
        <v>252.92</v>
      </c>
      <c r="L26">
        <v>9.56</v>
      </c>
      <c r="M26" t="s">
        <v>15</v>
      </c>
      <c r="N26">
        <v>7.63</v>
      </c>
      <c r="O26">
        <v>3.9300000000000002E-2</v>
      </c>
    </row>
    <row r="27" spans="1:15" x14ac:dyDescent="0.35">
      <c r="A27" s="1">
        <v>45956</v>
      </c>
      <c r="B27" s="4">
        <v>45956</v>
      </c>
      <c r="C27" t="s">
        <v>13</v>
      </c>
      <c r="D27" t="s">
        <v>13</v>
      </c>
      <c r="E27">
        <v>29</v>
      </c>
      <c r="F27" t="s">
        <v>14</v>
      </c>
      <c r="G27">
        <v>1</v>
      </c>
      <c r="H27">
        <v>521.80999999999995</v>
      </c>
      <c r="I27">
        <v>524.37</v>
      </c>
      <c r="J27">
        <v>519.74</v>
      </c>
      <c r="K27">
        <v>522.63</v>
      </c>
      <c r="L27">
        <v>0.82</v>
      </c>
      <c r="M27" t="s">
        <v>15</v>
      </c>
      <c r="N27">
        <v>0.59</v>
      </c>
      <c r="O27">
        <v>1.6000000000000001E-3</v>
      </c>
    </row>
    <row r="28" spans="1:15" x14ac:dyDescent="0.35">
      <c r="A28" s="1">
        <v>45956</v>
      </c>
      <c r="B28" s="4">
        <v>45956</v>
      </c>
      <c r="C28" t="s">
        <v>19</v>
      </c>
      <c r="D28" t="s">
        <v>19</v>
      </c>
      <c r="E28">
        <v>30</v>
      </c>
      <c r="F28" t="s">
        <v>14</v>
      </c>
      <c r="G28">
        <v>1</v>
      </c>
      <c r="H28">
        <v>13</v>
      </c>
      <c r="I28">
        <v>13.89</v>
      </c>
      <c r="J28">
        <v>12.9</v>
      </c>
      <c r="K28">
        <v>13.78</v>
      </c>
      <c r="L28">
        <v>0.78</v>
      </c>
      <c r="M28" t="s">
        <v>15</v>
      </c>
      <c r="N28">
        <v>7.91</v>
      </c>
      <c r="O28">
        <v>0.06</v>
      </c>
    </row>
    <row r="29" spans="1:15" x14ac:dyDescent="0.35">
      <c r="A29" s="1">
        <v>45956</v>
      </c>
      <c r="B29" s="4">
        <v>45956</v>
      </c>
      <c r="C29" t="s">
        <v>18</v>
      </c>
      <c r="D29" t="s">
        <v>18</v>
      </c>
      <c r="E29">
        <v>31</v>
      </c>
      <c r="F29" t="s">
        <v>14</v>
      </c>
      <c r="G29">
        <v>1</v>
      </c>
      <c r="H29">
        <v>206.99</v>
      </c>
      <c r="I29">
        <v>206.99</v>
      </c>
      <c r="J29">
        <v>201.2</v>
      </c>
      <c r="K29">
        <v>202.5</v>
      </c>
      <c r="L29">
        <v>-4.49</v>
      </c>
      <c r="M29" t="s">
        <v>15</v>
      </c>
      <c r="N29">
        <v>-2.0499999999999998</v>
      </c>
      <c r="O29">
        <v>-2.1700000000000001E-2</v>
      </c>
    </row>
    <row r="30" spans="1:15" x14ac:dyDescent="0.35">
      <c r="A30" s="1">
        <v>45956</v>
      </c>
      <c r="B30" s="4">
        <v>45956</v>
      </c>
      <c r="C30" t="s">
        <v>24</v>
      </c>
      <c r="D30" t="s">
        <v>24</v>
      </c>
      <c r="E30">
        <v>32</v>
      </c>
      <c r="F30" t="s">
        <v>17</v>
      </c>
      <c r="G30">
        <v>1</v>
      </c>
      <c r="H30">
        <v>24.27</v>
      </c>
      <c r="I30">
        <v>24.4</v>
      </c>
      <c r="J30">
        <v>24.25</v>
      </c>
      <c r="K30">
        <v>24.33</v>
      </c>
      <c r="L30">
        <v>0.06</v>
      </c>
      <c r="M30" t="s">
        <v>15</v>
      </c>
      <c r="N30">
        <v>0.36</v>
      </c>
      <c r="O30">
        <v>2.5000000000000001E-3</v>
      </c>
    </row>
    <row r="31" spans="1:15" x14ac:dyDescent="0.35">
      <c r="A31" s="1">
        <v>45956</v>
      </c>
      <c r="B31" s="4">
        <v>45956</v>
      </c>
      <c r="C31" t="s">
        <v>20</v>
      </c>
      <c r="D31" t="s">
        <v>20</v>
      </c>
      <c r="E31">
        <v>33</v>
      </c>
      <c r="F31" t="s">
        <v>14</v>
      </c>
      <c r="G31">
        <v>1</v>
      </c>
      <c r="H31">
        <v>243.36</v>
      </c>
      <c r="I31">
        <v>253.39</v>
      </c>
      <c r="J31">
        <v>241.95</v>
      </c>
      <c r="K31">
        <v>252.92</v>
      </c>
      <c r="L31">
        <v>9.56</v>
      </c>
      <c r="M31" t="s">
        <v>15</v>
      </c>
      <c r="N31">
        <v>7.63</v>
      </c>
      <c r="O31">
        <v>3.9300000000000002E-2</v>
      </c>
    </row>
    <row r="32" spans="1:15" x14ac:dyDescent="0.35">
      <c r="A32" s="1">
        <v>45956</v>
      </c>
      <c r="B32" s="4">
        <v>45956</v>
      </c>
      <c r="C32" t="s">
        <v>13</v>
      </c>
      <c r="D32" t="s">
        <v>13</v>
      </c>
      <c r="E32">
        <v>34</v>
      </c>
      <c r="F32" t="s">
        <v>14</v>
      </c>
      <c r="G32">
        <v>1</v>
      </c>
      <c r="H32">
        <v>521.80999999999995</v>
      </c>
      <c r="I32">
        <v>524.37</v>
      </c>
      <c r="J32">
        <v>519.74</v>
      </c>
      <c r="K32">
        <v>522.63</v>
      </c>
      <c r="L32">
        <v>0.82</v>
      </c>
      <c r="M32" t="s">
        <v>15</v>
      </c>
      <c r="N32">
        <v>0.59</v>
      </c>
      <c r="O32">
        <v>1.6000000000000001E-3</v>
      </c>
    </row>
    <row r="33" spans="1:15" x14ac:dyDescent="0.35">
      <c r="A33" s="1">
        <v>45956</v>
      </c>
      <c r="B33" s="4">
        <v>45956</v>
      </c>
      <c r="C33" t="s">
        <v>19</v>
      </c>
      <c r="D33" t="s">
        <v>19</v>
      </c>
      <c r="E33">
        <v>35</v>
      </c>
      <c r="F33" t="s">
        <v>14</v>
      </c>
      <c r="G33">
        <v>1</v>
      </c>
      <c r="H33">
        <v>13</v>
      </c>
      <c r="I33">
        <v>13.89</v>
      </c>
      <c r="J33">
        <v>12.9</v>
      </c>
      <c r="K33">
        <v>13.78</v>
      </c>
      <c r="L33">
        <v>0.78</v>
      </c>
      <c r="M33" t="s">
        <v>15</v>
      </c>
      <c r="N33">
        <v>7.91</v>
      </c>
      <c r="O33">
        <v>0.06</v>
      </c>
    </row>
    <row r="34" spans="1:15" x14ac:dyDescent="0.35">
      <c r="A34" s="1">
        <v>45956</v>
      </c>
      <c r="B34" s="4">
        <v>45956</v>
      </c>
      <c r="C34" t="s">
        <v>18</v>
      </c>
      <c r="D34" t="s">
        <v>18</v>
      </c>
      <c r="E34">
        <v>36</v>
      </c>
      <c r="F34" t="s">
        <v>14</v>
      </c>
      <c r="G34">
        <v>1</v>
      </c>
      <c r="H34">
        <v>206.99</v>
      </c>
      <c r="I34">
        <v>206.99</v>
      </c>
      <c r="J34">
        <v>201.2</v>
      </c>
      <c r="K34">
        <v>202.5</v>
      </c>
      <c r="L34">
        <v>-4.49</v>
      </c>
      <c r="M34" t="s">
        <v>15</v>
      </c>
      <c r="N34">
        <v>-2.0499999999999998</v>
      </c>
      <c r="O34">
        <v>-2.1700000000000001E-2</v>
      </c>
    </row>
    <row r="35" spans="1:15" x14ac:dyDescent="0.35">
      <c r="A35" s="1">
        <v>45956</v>
      </c>
      <c r="B35" s="4">
        <v>45956</v>
      </c>
      <c r="C35" t="s">
        <v>24</v>
      </c>
      <c r="D35" t="s">
        <v>24</v>
      </c>
      <c r="E35">
        <v>37</v>
      </c>
      <c r="F35" t="s">
        <v>17</v>
      </c>
      <c r="G35">
        <v>1</v>
      </c>
      <c r="H35">
        <v>24.27</v>
      </c>
      <c r="I35">
        <v>24.4</v>
      </c>
      <c r="J35">
        <v>24.25</v>
      </c>
      <c r="K35">
        <v>24.33</v>
      </c>
      <c r="L35">
        <v>0.06</v>
      </c>
      <c r="M35" t="s">
        <v>15</v>
      </c>
      <c r="N35">
        <v>0.36</v>
      </c>
      <c r="O35">
        <v>2.5000000000000001E-3</v>
      </c>
    </row>
    <row r="36" spans="1:15" x14ac:dyDescent="0.35">
      <c r="A36" s="1">
        <v>45956</v>
      </c>
      <c r="B36" s="4">
        <v>45956</v>
      </c>
      <c r="C36" t="s">
        <v>20</v>
      </c>
      <c r="D36" t="s">
        <v>20</v>
      </c>
      <c r="E36">
        <v>38</v>
      </c>
      <c r="F36" t="s">
        <v>14</v>
      </c>
      <c r="G36">
        <v>1</v>
      </c>
      <c r="H36">
        <v>243.36</v>
      </c>
      <c r="I36">
        <v>253.39</v>
      </c>
      <c r="J36">
        <v>241.95</v>
      </c>
      <c r="K36">
        <v>252.92</v>
      </c>
      <c r="L36">
        <v>9.56</v>
      </c>
      <c r="M36" t="s">
        <v>15</v>
      </c>
      <c r="N36">
        <v>7.63</v>
      </c>
      <c r="O36">
        <v>3.9300000000000002E-2</v>
      </c>
    </row>
    <row r="37" spans="1:15" x14ac:dyDescent="0.35">
      <c r="A37" s="1">
        <v>45956</v>
      </c>
      <c r="B37" s="4">
        <v>45956</v>
      </c>
      <c r="C37" t="s">
        <v>13</v>
      </c>
      <c r="D37" t="s">
        <v>13</v>
      </c>
      <c r="E37">
        <v>39</v>
      </c>
      <c r="F37" t="s">
        <v>14</v>
      </c>
      <c r="G37">
        <v>1</v>
      </c>
      <c r="H37">
        <v>521.80999999999995</v>
      </c>
      <c r="I37">
        <v>524.37</v>
      </c>
      <c r="J37">
        <v>519.74</v>
      </c>
      <c r="K37">
        <v>522.63</v>
      </c>
      <c r="L37">
        <v>0.82</v>
      </c>
      <c r="M37" t="s">
        <v>15</v>
      </c>
      <c r="N37">
        <v>0.59</v>
      </c>
      <c r="O37">
        <v>1.6000000000000001E-3</v>
      </c>
    </row>
    <row r="38" spans="1:15" x14ac:dyDescent="0.35">
      <c r="A38" s="1">
        <v>45956</v>
      </c>
      <c r="B38" s="4">
        <v>45956</v>
      </c>
      <c r="C38" t="s">
        <v>19</v>
      </c>
      <c r="D38" t="s">
        <v>19</v>
      </c>
      <c r="E38">
        <v>40</v>
      </c>
      <c r="F38" t="s">
        <v>14</v>
      </c>
      <c r="G38">
        <v>1</v>
      </c>
      <c r="H38">
        <v>13</v>
      </c>
      <c r="I38">
        <v>13.89</v>
      </c>
      <c r="J38">
        <v>12.9</v>
      </c>
      <c r="K38">
        <v>13.78</v>
      </c>
      <c r="L38">
        <v>0.78</v>
      </c>
      <c r="M38" t="s">
        <v>15</v>
      </c>
      <c r="N38">
        <v>7.91</v>
      </c>
      <c r="O38">
        <v>0.06</v>
      </c>
    </row>
    <row r="39" spans="1:15" x14ac:dyDescent="0.35">
      <c r="A39" s="1">
        <v>45956</v>
      </c>
      <c r="B39" s="4">
        <v>45956</v>
      </c>
      <c r="C39" t="s">
        <v>18</v>
      </c>
      <c r="D39" t="s">
        <v>18</v>
      </c>
      <c r="E39">
        <v>41</v>
      </c>
      <c r="F39" t="s">
        <v>14</v>
      </c>
      <c r="G39">
        <v>1</v>
      </c>
      <c r="H39">
        <v>206.99</v>
      </c>
      <c r="I39">
        <v>206.99</v>
      </c>
      <c r="J39">
        <v>201.2</v>
      </c>
      <c r="K39">
        <v>202.5</v>
      </c>
      <c r="L39">
        <v>-4.49</v>
      </c>
      <c r="M39" t="s">
        <v>15</v>
      </c>
      <c r="N39">
        <v>-2.0499999999999998</v>
      </c>
      <c r="O39">
        <v>-2.1700000000000001E-2</v>
      </c>
    </row>
    <row r="40" spans="1:15" x14ac:dyDescent="0.35">
      <c r="A40" s="1">
        <v>45956</v>
      </c>
      <c r="B40" s="4">
        <v>45956</v>
      </c>
      <c r="C40" t="s">
        <v>24</v>
      </c>
      <c r="D40" t="s">
        <v>24</v>
      </c>
      <c r="E40">
        <v>42</v>
      </c>
      <c r="F40" t="s">
        <v>17</v>
      </c>
      <c r="G40">
        <v>1</v>
      </c>
      <c r="H40">
        <v>24.27</v>
      </c>
      <c r="I40">
        <v>24.4</v>
      </c>
      <c r="J40">
        <v>24.25</v>
      </c>
      <c r="K40">
        <v>24.33</v>
      </c>
      <c r="L40">
        <v>0.06</v>
      </c>
      <c r="M40" t="s">
        <v>15</v>
      </c>
      <c r="N40">
        <v>0.36</v>
      </c>
      <c r="O40">
        <v>2.5000000000000001E-3</v>
      </c>
    </row>
    <row r="41" spans="1:15" x14ac:dyDescent="0.35">
      <c r="A41" s="1">
        <v>45956</v>
      </c>
      <c r="B41" s="4">
        <v>45956</v>
      </c>
      <c r="C41" t="s">
        <v>20</v>
      </c>
      <c r="D41" t="s">
        <v>20</v>
      </c>
      <c r="E41">
        <v>43</v>
      </c>
      <c r="F41" t="s">
        <v>14</v>
      </c>
      <c r="G41">
        <v>1</v>
      </c>
      <c r="H41">
        <v>243.36</v>
      </c>
      <c r="I41">
        <v>253.39</v>
      </c>
      <c r="J41">
        <v>241.95</v>
      </c>
      <c r="K41">
        <v>252.92</v>
      </c>
      <c r="L41">
        <v>9.56</v>
      </c>
      <c r="M41" t="s">
        <v>15</v>
      </c>
      <c r="N41">
        <v>7.63</v>
      </c>
      <c r="O41">
        <v>3.9300000000000002E-2</v>
      </c>
    </row>
    <row r="42" spans="1:15" x14ac:dyDescent="0.35">
      <c r="A42" s="1">
        <v>45956</v>
      </c>
      <c r="B42" s="4">
        <v>45956</v>
      </c>
      <c r="C42" t="s">
        <v>13</v>
      </c>
      <c r="D42" t="s">
        <v>13</v>
      </c>
      <c r="E42">
        <v>44</v>
      </c>
      <c r="F42" t="s">
        <v>14</v>
      </c>
      <c r="G42">
        <v>1</v>
      </c>
      <c r="H42">
        <v>521.80999999999995</v>
      </c>
      <c r="I42">
        <v>524.37</v>
      </c>
      <c r="J42">
        <v>519.74</v>
      </c>
      <c r="K42">
        <v>522.63</v>
      </c>
      <c r="L42">
        <v>0.82</v>
      </c>
      <c r="M42" t="s">
        <v>15</v>
      </c>
      <c r="N42">
        <v>0.59</v>
      </c>
      <c r="O42">
        <v>1.6000000000000001E-3</v>
      </c>
    </row>
    <row r="43" spans="1:15" x14ac:dyDescent="0.35">
      <c r="A43" s="1">
        <v>45956</v>
      </c>
      <c r="B43" s="4">
        <v>45956</v>
      </c>
      <c r="C43" t="s">
        <v>19</v>
      </c>
      <c r="D43" t="s">
        <v>19</v>
      </c>
      <c r="E43">
        <v>45</v>
      </c>
      <c r="F43" t="s">
        <v>14</v>
      </c>
      <c r="G43">
        <v>1</v>
      </c>
      <c r="H43">
        <v>13</v>
      </c>
      <c r="I43">
        <v>13.89</v>
      </c>
      <c r="J43">
        <v>12.9</v>
      </c>
      <c r="K43">
        <v>13.78</v>
      </c>
      <c r="L43">
        <v>0.78</v>
      </c>
      <c r="M43" t="s">
        <v>15</v>
      </c>
      <c r="N43">
        <v>7.91</v>
      </c>
      <c r="O43">
        <v>0.06</v>
      </c>
    </row>
    <row r="44" spans="1:15" x14ac:dyDescent="0.35">
      <c r="A44" s="1">
        <v>45956</v>
      </c>
      <c r="B44" s="4">
        <v>45956</v>
      </c>
      <c r="C44" t="s">
        <v>18</v>
      </c>
      <c r="D44" t="s">
        <v>18</v>
      </c>
      <c r="E44">
        <v>46</v>
      </c>
      <c r="F44" t="s">
        <v>14</v>
      </c>
      <c r="G44">
        <v>1</v>
      </c>
      <c r="H44">
        <v>206.99</v>
      </c>
      <c r="I44">
        <v>206.99</v>
      </c>
      <c r="J44">
        <v>201.2</v>
      </c>
      <c r="K44">
        <v>202.5</v>
      </c>
      <c r="L44">
        <v>-4.49</v>
      </c>
      <c r="M44" t="s">
        <v>15</v>
      </c>
      <c r="N44">
        <v>-2.0499999999999998</v>
      </c>
      <c r="O44">
        <v>-2.1700000000000001E-2</v>
      </c>
    </row>
    <row r="45" spans="1:15" x14ac:dyDescent="0.35">
      <c r="A45" s="1">
        <v>45956</v>
      </c>
      <c r="B45" s="4">
        <v>45956</v>
      </c>
      <c r="C45" t="s">
        <v>24</v>
      </c>
      <c r="D45" t="s">
        <v>24</v>
      </c>
      <c r="E45">
        <v>47</v>
      </c>
      <c r="F45" t="s">
        <v>17</v>
      </c>
      <c r="G45">
        <v>1</v>
      </c>
      <c r="H45">
        <v>24.27</v>
      </c>
      <c r="I45">
        <v>24.4</v>
      </c>
      <c r="J45">
        <v>24.25</v>
      </c>
      <c r="K45">
        <v>24.33</v>
      </c>
      <c r="L45">
        <v>0.06</v>
      </c>
      <c r="M45" t="s">
        <v>15</v>
      </c>
      <c r="N45">
        <v>0.36</v>
      </c>
      <c r="O45">
        <v>2.5000000000000001E-3</v>
      </c>
    </row>
    <row r="46" spans="1:15" x14ac:dyDescent="0.35">
      <c r="A46" s="1">
        <v>45956</v>
      </c>
      <c r="B46" s="4">
        <v>45956</v>
      </c>
      <c r="C46" t="s">
        <v>20</v>
      </c>
      <c r="D46" t="s">
        <v>20</v>
      </c>
      <c r="E46">
        <v>48</v>
      </c>
      <c r="F46" t="s">
        <v>14</v>
      </c>
      <c r="G46">
        <v>1</v>
      </c>
      <c r="H46">
        <v>243.36</v>
      </c>
      <c r="I46">
        <v>253.39</v>
      </c>
      <c r="J46">
        <v>241.95</v>
      </c>
      <c r="K46">
        <v>252.92</v>
      </c>
      <c r="L46">
        <v>9.56</v>
      </c>
      <c r="M46" t="s">
        <v>15</v>
      </c>
      <c r="N46">
        <v>7.63</v>
      </c>
      <c r="O46">
        <v>3.9300000000000002E-2</v>
      </c>
    </row>
    <row r="47" spans="1:15" x14ac:dyDescent="0.35">
      <c r="A47" s="1">
        <v>45956</v>
      </c>
      <c r="B47" s="4">
        <v>45956</v>
      </c>
      <c r="C47" t="s">
        <v>13</v>
      </c>
      <c r="D47" t="s">
        <v>13</v>
      </c>
      <c r="E47">
        <v>49</v>
      </c>
      <c r="F47" t="s">
        <v>14</v>
      </c>
      <c r="G47">
        <v>1</v>
      </c>
      <c r="H47">
        <v>521.80999999999995</v>
      </c>
      <c r="I47">
        <v>524.37</v>
      </c>
      <c r="J47">
        <v>519.74</v>
      </c>
      <c r="K47">
        <v>522.63</v>
      </c>
      <c r="L47">
        <v>0.82</v>
      </c>
      <c r="M47" t="s">
        <v>15</v>
      </c>
      <c r="N47">
        <v>0.59</v>
      </c>
      <c r="O47">
        <v>1.6000000000000001E-3</v>
      </c>
    </row>
    <row r="48" spans="1:15" x14ac:dyDescent="0.35">
      <c r="A48" s="1">
        <v>45956</v>
      </c>
      <c r="B48" s="4">
        <v>45956</v>
      </c>
      <c r="C48" t="s">
        <v>19</v>
      </c>
      <c r="D48" t="s">
        <v>19</v>
      </c>
      <c r="E48">
        <v>50</v>
      </c>
      <c r="F48" t="s">
        <v>14</v>
      </c>
      <c r="G48">
        <v>1</v>
      </c>
      <c r="H48">
        <v>13</v>
      </c>
      <c r="I48">
        <v>13.89</v>
      </c>
      <c r="J48">
        <v>12.9</v>
      </c>
      <c r="K48">
        <v>13.78</v>
      </c>
      <c r="L48">
        <v>0.78</v>
      </c>
      <c r="M48" t="s">
        <v>15</v>
      </c>
      <c r="N48">
        <v>7.91</v>
      </c>
      <c r="O48">
        <v>0.06</v>
      </c>
    </row>
    <row r="49" spans="1:15" x14ac:dyDescent="0.35">
      <c r="A49" s="1">
        <v>45956</v>
      </c>
      <c r="B49" s="4">
        <v>45956</v>
      </c>
      <c r="C49" t="s">
        <v>18</v>
      </c>
      <c r="D49" t="s">
        <v>18</v>
      </c>
      <c r="E49">
        <v>51</v>
      </c>
      <c r="F49" t="s">
        <v>14</v>
      </c>
      <c r="G49">
        <v>1</v>
      </c>
      <c r="H49">
        <v>206.99</v>
      </c>
      <c r="I49">
        <v>206.99</v>
      </c>
      <c r="J49">
        <v>201.2</v>
      </c>
      <c r="K49">
        <v>202.5</v>
      </c>
      <c r="L49">
        <v>-4.49</v>
      </c>
      <c r="M49" t="s">
        <v>15</v>
      </c>
      <c r="N49">
        <v>-2.0499999999999998</v>
      </c>
      <c r="O49">
        <v>-2.1700000000000001E-2</v>
      </c>
    </row>
    <row r="50" spans="1:15" x14ac:dyDescent="0.35">
      <c r="A50" s="1">
        <v>45956</v>
      </c>
      <c r="B50" s="4">
        <v>45956</v>
      </c>
      <c r="C50" t="s">
        <v>24</v>
      </c>
      <c r="D50" t="s">
        <v>24</v>
      </c>
      <c r="E50">
        <v>52</v>
      </c>
      <c r="F50" t="s">
        <v>17</v>
      </c>
      <c r="G50">
        <v>1</v>
      </c>
      <c r="H50">
        <v>24.27</v>
      </c>
      <c r="I50">
        <v>24.4</v>
      </c>
      <c r="J50">
        <v>24.25</v>
      </c>
      <c r="K50">
        <v>24.33</v>
      </c>
      <c r="L50">
        <v>0.06</v>
      </c>
      <c r="M50" t="s">
        <v>15</v>
      </c>
      <c r="N50">
        <v>0.36</v>
      </c>
      <c r="O50">
        <v>2.5000000000000001E-3</v>
      </c>
    </row>
    <row r="51" spans="1:15" x14ac:dyDescent="0.35">
      <c r="A51" s="1">
        <v>45956</v>
      </c>
      <c r="B51" s="4">
        <v>45956</v>
      </c>
      <c r="C51" t="s">
        <v>20</v>
      </c>
      <c r="D51" t="s">
        <v>20</v>
      </c>
      <c r="E51">
        <v>53</v>
      </c>
      <c r="F51" t="s">
        <v>14</v>
      </c>
      <c r="G51">
        <v>1</v>
      </c>
      <c r="H51">
        <v>243.36</v>
      </c>
      <c r="I51">
        <v>253.39</v>
      </c>
      <c r="J51">
        <v>241.95</v>
      </c>
      <c r="K51">
        <v>252.92</v>
      </c>
      <c r="L51">
        <v>9.56</v>
      </c>
      <c r="M51" t="s">
        <v>15</v>
      </c>
      <c r="N51">
        <v>7.63</v>
      </c>
      <c r="O51">
        <v>3.9300000000000002E-2</v>
      </c>
    </row>
    <row r="52" spans="1:15" x14ac:dyDescent="0.35">
      <c r="A52" s="1">
        <v>45956</v>
      </c>
      <c r="B52" s="4">
        <v>45956</v>
      </c>
      <c r="C52" t="s">
        <v>13</v>
      </c>
      <c r="D52" t="s">
        <v>13</v>
      </c>
      <c r="E52">
        <v>54</v>
      </c>
      <c r="F52" t="s">
        <v>14</v>
      </c>
      <c r="G52">
        <v>1</v>
      </c>
      <c r="H52">
        <v>521.80999999999995</v>
      </c>
      <c r="I52">
        <v>524.37</v>
      </c>
      <c r="J52">
        <v>519.74</v>
      </c>
      <c r="K52">
        <v>522.63</v>
      </c>
      <c r="L52">
        <v>0.82</v>
      </c>
      <c r="M52" t="s">
        <v>15</v>
      </c>
      <c r="N52">
        <v>0.59</v>
      </c>
      <c r="O52">
        <v>1.6000000000000001E-3</v>
      </c>
    </row>
    <row r="53" spans="1:15" x14ac:dyDescent="0.35">
      <c r="A53" s="1">
        <v>45956</v>
      </c>
      <c r="B53" s="4">
        <v>45956</v>
      </c>
      <c r="C53" t="s">
        <v>19</v>
      </c>
      <c r="D53" t="s">
        <v>19</v>
      </c>
      <c r="E53">
        <v>55</v>
      </c>
      <c r="F53" t="s">
        <v>14</v>
      </c>
      <c r="G53">
        <v>1</v>
      </c>
      <c r="H53">
        <v>13</v>
      </c>
      <c r="I53">
        <v>13.89</v>
      </c>
      <c r="J53">
        <v>12.9</v>
      </c>
      <c r="K53">
        <v>13.78</v>
      </c>
      <c r="L53">
        <v>0.78</v>
      </c>
      <c r="M53" t="s">
        <v>15</v>
      </c>
      <c r="N53">
        <v>7.91</v>
      </c>
      <c r="O53">
        <v>0.06</v>
      </c>
    </row>
    <row r="54" spans="1:15" x14ac:dyDescent="0.35">
      <c r="A54" s="1">
        <v>45956</v>
      </c>
      <c r="B54" s="4">
        <v>45956</v>
      </c>
      <c r="C54" t="s">
        <v>18</v>
      </c>
      <c r="D54" t="s">
        <v>18</v>
      </c>
      <c r="E54">
        <v>56</v>
      </c>
      <c r="F54" t="s">
        <v>14</v>
      </c>
      <c r="G54">
        <v>1</v>
      </c>
      <c r="H54">
        <v>206.99</v>
      </c>
      <c r="I54">
        <v>206.99</v>
      </c>
      <c r="J54">
        <v>201.2</v>
      </c>
      <c r="K54">
        <v>202.5</v>
      </c>
      <c r="L54">
        <v>-4.49</v>
      </c>
      <c r="M54" t="s">
        <v>15</v>
      </c>
      <c r="N54">
        <v>-2.0499999999999998</v>
      </c>
      <c r="O54">
        <v>-2.1700000000000001E-2</v>
      </c>
    </row>
    <row r="55" spans="1:15" x14ac:dyDescent="0.35">
      <c r="A55" s="1">
        <v>45956</v>
      </c>
      <c r="B55" s="4">
        <v>45956</v>
      </c>
      <c r="C55" t="s">
        <v>24</v>
      </c>
      <c r="D55" t="s">
        <v>24</v>
      </c>
      <c r="E55">
        <v>57</v>
      </c>
      <c r="F55" t="s">
        <v>17</v>
      </c>
      <c r="G55">
        <v>1</v>
      </c>
      <c r="H55">
        <v>24.27</v>
      </c>
      <c r="I55">
        <v>24.4</v>
      </c>
      <c r="J55">
        <v>24.25</v>
      </c>
      <c r="K55">
        <v>24.33</v>
      </c>
      <c r="L55">
        <v>0.06</v>
      </c>
      <c r="M55" t="s">
        <v>15</v>
      </c>
      <c r="N55">
        <v>0.36</v>
      </c>
      <c r="O55">
        <v>2.5000000000000001E-3</v>
      </c>
    </row>
    <row r="56" spans="1:15" x14ac:dyDescent="0.35">
      <c r="A56" s="1">
        <v>45956</v>
      </c>
      <c r="B56" s="4">
        <v>45956</v>
      </c>
      <c r="C56" t="s">
        <v>20</v>
      </c>
      <c r="D56" t="s">
        <v>20</v>
      </c>
      <c r="E56">
        <v>58</v>
      </c>
      <c r="F56" t="s">
        <v>14</v>
      </c>
      <c r="G56">
        <v>1</v>
      </c>
      <c r="H56">
        <v>243.36</v>
      </c>
      <c r="I56">
        <v>253.39</v>
      </c>
      <c r="J56">
        <v>241.95</v>
      </c>
      <c r="K56">
        <v>252.92</v>
      </c>
      <c r="L56">
        <v>9.56</v>
      </c>
      <c r="M56" t="s">
        <v>15</v>
      </c>
      <c r="N56">
        <v>7.63</v>
      </c>
      <c r="O56">
        <v>3.9300000000000002E-2</v>
      </c>
    </row>
    <row r="57" spans="1:15" x14ac:dyDescent="0.35">
      <c r="A57" s="1">
        <v>45956</v>
      </c>
      <c r="B57" s="4">
        <v>45956</v>
      </c>
      <c r="C57" t="s">
        <v>13</v>
      </c>
      <c r="D57" t="s">
        <v>13</v>
      </c>
      <c r="E57">
        <v>59</v>
      </c>
      <c r="F57" t="s">
        <v>14</v>
      </c>
      <c r="G57">
        <v>1</v>
      </c>
      <c r="H57">
        <v>521.80999999999995</v>
      </c>
      <c r="I57">
        <v>524.37</v>
      </c>
      <c r="J57">
        <v>519.74</v>
      </c>
      <c r="K57">
        <v>522.63</v>
      </c>
      <c r="L57">
        <v>0.82</v>
      </c>
      <c r="M57" t="s">
        <v>15</v>
      </c>
      <c r="N57">
        <v>0.59</v>
      </c>
      <c r="O57">
        <v>1.6000000000000001E-3</v>
      </c>
    </row>
    <row r="58" spans="1:15" x14ac:dyDescent="0.35">
      <c r="A58" s="1">
        <v>45956</v>
      </c>
      <c r="B58" s="4">
        <v>45956</v>
      </c>
      <c r="C58" t="s">
        <v>19</v>
      </c>
      <c r="D58" t="s">
        <v>19</v>
      </c>
      <c r="E58">
        <v>60</v>
      </c>
      <c r="F58" t="s">
        <v>14</v>
      </c>
      <c r="G58">
        <v>1</v>
      </c>
      <c r="H58">
        <v>13</v>
      </c>
      <c r="I58">
        <v>13.89</v>
      </c>
      <c r="J58">
        <v>12.9</v>
      </c>
      <c r="K58">
        <v>13.78</v>
      </c>
      <c r="L58">
        <v>0.78</v>
      </c>
      <c r="M58" t="s">
        <v>15</v>
      </c>
      <c r="N58">
        <v>7.91</v>
      </c>
      <c r="O58">
        <v>0.06</v>
      </c>
    </row>
    <row r="59" spans="1:15" x14ac:dyDescent="0.35">
      <c r="A59" s="1">
        <v>45956</v>
      </c>
      <c r="B59" s="4">
        <v>45956</v>
      </c>
      <c r="C59" t="s">
        <v>18</v>
      </c>
      <c r="D59" t="s">
        <v>18</v>
      </c>
      <c r="E59">
        <v>61</v>
      </c>
      <c r="F59" t="s">
        <v>14</v>
      </c>
      <c r="G59">
        <v>1</v>
      </c>
      <c r="H59">
        <v>206.99</v>
      </c>
      <c r="I59">
        <v>206.99</v>
      </c>
      <c r="J59">
        <v>201.2</v>
      </c>
      <c r="K59">
        <v>202.5</v>
      </c>
      <c r="L59">
        <v>-4.49</v>
      </c>
      <c r="M59" t="s">
        <v>15</v>
      </c>
      <c r="N59">
        <v>-2.0499999999999998</v>
      </c>
      <c r="O59">
        <v>-2.1700000000000001E-2</v>
      </c>
    </row>
    <row r="60" spans="1:15" x14ac:dyDescent="0.35">
      <c r="A60" s="1">
        <v>45956</v>
      </c>
      <c r="B60" s="4">
        <v>45956</v>
      </c>
      <c r="C60" t="s">
        <v>24</v>
      </c>
      <c r="D60" t="s">
        <v>24</v>
      </c>
      <c r="E60">
        <v>62</v>
      </c>
      <c r="F60" t="s">
        <v>17</v>
      </c>
      <c r="G60">
        <v>1</v>
      </c>
      <c r="H60">
        <v>24.27</v>
      </c>
      <c r="I60">
        <v>24.4</v>
      </c>
      <c r="J60">
        <v>24.25</v>
      </c>
      <c r="K60">
        <v>24.33</v>
      </c>
      <c r="L60">
        <v>0.06</v>
      </c>
      <c r="M60" t="s">
        <v>15</v>
      </c>
      <c r="N60">
        <v>0.36</v>
      </c>
      <c r="O60">
        <v>2.5000000000000001E-3</v>
      </c>
    </row>
    <row r="61" spans="1:15" x14ac:dyDescent="0.35">
      <c r="A61" s="1">
        <v>45956</v>
      </c>
      <c r="B61" s="4">
        <v>45956</v>
      </c>
      <c r="C61" t="s">
        <v>20</v>
      </c>
      <c r="D61" t="s">
        <v>20</v>
      </c>
      <c r="E61">
        <v>63</v>
      </c>
      <c r="F61" t="s">
        <v>14</v>
      </c>
      <c r="G61">
        <v>1</v>
      </c>
      <c r="H61">
        <v>243.36</v>
      </c>
      <c r="I61">
        <v>253.39</v>
      </c>
      <c r="J61">
        <v>241.95</v>
      </c>
      <c r="K61">
        <v>252.92</v>
      </c>
      <c r="L61">
        <v>9.56</v>
      </c>
      <c r="M61" t="s">
        <v>15</v>
      </c>
      <c r="N61">
        <v>7.63</v>
      </c>
      <c r="O61">
        <v>3.9300000000000002E-2</v>
      </c>
    </row>
    <row r="62" spans="1:15" x14ac:dyDescent="0.35">
      <c r="A62" s="1">
        <v>45956</v>
      </c>
      <c r="B62" s="4">
        <v>45956</v>
      </c>
      <c r="C62" t="s">
        <v>13</v>
      </c>
      <c r="D62" t="s">
        <v>13</v>
      </c>
      <c r="E62">
        <v>64</v>
      </c>
      <c r="F62" t="s">
        <v>14</v>
      </c>
      <c r="G62">
        <v>1</v>
      </c>
      <c r="H62">
        <v>521.80999999999995</v>
      </c>
      <c r="I62">
        <v>524.37</v>
      </c>
      <c r="J62">
        <v>519.74</v>
      </c>
      <c r="K62">
        <v>522.63</v>
      </c>
      <c r="L62">
        <v>0.82</v>
      </c>
      <c r="M62" t="s">
        <v>15</v>
      </c>
      <c r="N62">
        <v>0.59</v>
      </c>
      <c r="O62">
        <v>1.6000000000000001E-3</v>
      </c>
    </row>
    <row r="63" spans="1:15" x14ac:dyDescent="0.35">
      <c r="A63" s="1">
        <v>45956</v>
      </c>
      <c r="B63" s="4">
        <v>45956</v>
      </c>
      <c r="C63" t="s">
        <v>19</v>
      </c>
      <c r="D63" t="s">
        <v>19</v>
      </c>
      <c r="E63">
        <v>65</v>
      </c>
      <c r="F63" t="s">
        <v>14</v>
      </c>
      <c r="G63">
        <v>1</v>
      </c>
      <c r="H63">
        <v>13</v>
      </c>
      <c r="I63">
        <v>13.89</v>
      </c>
      <c r="J63">
        <v>12.9</v>
      </c>
      <c r="K63">
        <v>13.78</v>
      </c>
      <c r="L63">
        <v>0.78</v>
      </c>
      <c r="M63" t="s">
        <v>15</v>
      </c>
      <c r="N63">
        <v>7.91</v>
      </c>
      <c r="O63">
        <v>0.06</v>
      </c>
    </row>
    <row r="64" spans="1:15" x14ac:dyDescent="0.35">
      <c r="A64" s="1">
        <v>45956</v>
      </c>
      <c r="B64" s="4">
        <v>45956</v>
      </c>
      <c r="C64" t="s">
        <v>18</v>
      </c>
      <c r="D64" t="s">
        <v>18</v>
      </c>
      <c r="E64">
        <v>66</v>
      </c>
      <c r="F64" t="s">
        <v>14</v>
      </c>
      <c r="G64">
        <v>1</v>
      </c>
      <c r="H64">
        <v>206.99</v>
      </c>
      <c r="I64">
        <v>206.99</v>
      </c>
      <c r="J64">
        <v>201.2</v>
      </c>
      <c r="K64">
        <v>202.5</v>
      </c>
      <c r="L64">
        <v>-4.49</v>
      </c>
      <c r="M64" t="s">
        <v>15</v>
      </c>
      <c r="N64">
        <v>-2.0499999999999998</v>
      </c>
      <c r="O64">
        <v>-2.1700000000000001E-2</v>
      </c>
    </row>
    <row r="65" spans="1:15" x14ac:dyDescent="0.35">
      <c r="A65" s="1">
        <v>45956</v>
      </c>
      <c r="B65" s="4">
        <v>45956</v>
      </c>
      <c r="C65" t="s">
        <v>24</v>
      </c>
      <c r="D65" t="s">
        <v>24</v>
      </c>
      <c r="E65">
        <v>67</v>
      </c>
      <c r="F65" t="s">
        <v>17</v>
      </c>
      <c r="G65">
        <v>1</v>
      </c>
      <c r="H65">
        <v>24.27</v>
      </c>
      <c r="I65">
        <v>24.4</v>
      </c>
      <c r="J65">
        <v>24.25</v>
      </c>
      <c r="K65">
        <v>24.33</v>
      </c>
      <c r="L65">
        <v>0.06</v>
      </c>
      <c r="M65" t="s">
        <v>15</v>
      </c>
      <c r="N65">
        <v>0.36</v>
      </c>
      <c r="O65">
        <v>2.5000000000000001E-3</v>
      </c>
    </row>
    <row r="66" spans="1:15" x14ac:dyDescent="0.35">
      <c r="A66" s="1">
        <v>45956</v>
      </c>
      <c r="B66" s="4">
        <v>45956</v>
      </c>
      <c r="C66" t="s">
        <v>20</v>
      </c>
      <c r="D66" t="s">
        <v>20</v>
      </c>
      <c r="E66">
        <v>68</v>
      </c>
      <c r="F66" t="s">
        <v>14</v>
      </c>
      <c r="G66">
        <v>1</v>
      </c>
      <c r="H66">
        <v>243.36</v>
      </c>
      <c r="I66">
        <v>253.39</v>
      </c>
      <c r="J66">
        <v>241.95</v>
      </c>
      <c r="K66">
        <v>252.92</v>
      </c>
      <c r="L66">
        <v>9.56</v>
      </c>
      <c r="M66" t="s">
        <v>15</v>
      </c>
      <c r="N66">
        <v>7.63</v>
      </c>
      <c r="O66">
        <v>3.9300000000000002E-2</v>
      </c>
    </row>
    <row r="67" spans="1:15" x14ac:dyDescent="0.35">
      <c r="A67" s="1">
        <v>45956</v>
      </c>
      <c r="B67" s="4">
        <v>45956</v>
      </c>
      <c r="C67" t="s">
        <v>13</v>
      </c>
      <c r="D67" t="s">
        <v>13</v>
      </c>
      <c r="E67">
        <v>69</v>
      </c>
      <c r="F67" t="s">
        <v>14</v>
      </c>
      <c r="G67">
        <v>1</v>
      </c>
      <c r="H67">
        <v>521.80999999999995</v>
      </c>
      <c r="I67">
        <v>524.37</v>
      </c>
      <c r="J67">
        <v>519.74</v>
      </c>
      <c r="K67">
        <v>522.63</v>
      </c>
      <c r="L67">
        <v>0.82</v>
      </c>
      <c r="M67" t="s">
        <v>15</v>
      </c>
      <c r="N67">
        <v>0.59</v>
      </c>
      <c r="O67">
        <v>1.6000000000000001E-3</v>
      </c>
    </row>
    <row r="68" spans="1:15" x14ac:dyDescent="0.35">
      <c r="A68" s="1">
        <v>45956</v>
      </c>
      <c r="B68" s="4">
        <v>45956</v>
      </c>
      <c r="C68" t="s">
        <v>19</v>
      </c>
      <c r="D68" t="s">
        <v>19</v>
      </c>
      <c r="E68">
        <v>70</v>
      </c>
      <c r="F68" t="s">
        <v>14</v>
      </c>
      <c r="G68">
        <v>1</v>
      </c>
      <c r="H68">
        <v>13</v>
      </c>
      <c r="I68">
        <v>13.89</v>
      </c>
      <c r="J68">
        <v>12.9</v>
      </c>
      <c r="K68">
        <v>13.78</v>
      </c>
      <c r="L68">
        <v>0.78</v>
      </c>
      <c r="M68" t="s">
        <v>15</v>
      </c>
      <c r="N68">
        <v>7.91</v>
      </c>
      <c r="O68">
        <v>0.06</v>
      </c>
    </row>
    <row r="69" spans="1:15" x14ac:dyDescent="0.35">
      <c r="A69" s="1">
        <v>45956</v>
      </c>
      <c r="B69" s="4">
        <v>45956</v>
      </c>
      <c r="C69" t="s">
        <v>18</v>
      </c>
      <c r="D69" t="s">
        <v>18</v>
      </c>
      <c r="E69">
        <v>71</v>
      </c>
      <c r="F69" t="s">
        <v>14</v>
      </c>
      <c r="G69">
        <v>1</v>
      </c>
      <c r="H69">
        <v>206.99</v>
      </c>
      <c r="I69">
        <v>206.99</v>
      </c>
      <c r="J69">
        <v>201.2</v>
      </c>
      <c r="K69">
        <v>202.5</v>
      </c>
      <c r="L69">
        <v>-4.49</v>
      </c>
      <c r="M69" t="s">
        <v>15</v>
      </c>
      <c r="N69">
        <v>-2.0499999999999998</v>
      </c>
      <c r="O69">
        <v>-2.1700000000000001E-2</v>
      </c>
    </row>
    <row r="70" spans="1:15" x14ac:dyDescent="0.35">
      <c r="A70" s="1">
        <v>45956</v>
      </c>
      <c r="B70" s="4">
        <v>45956</v>
      </c>
      <c r="C70" t="s">
        <v>24</v>
      </c>
      <c r="D70" t="s">
        <v>24</v>
      </c>
      <c r="E70">
        <v>72</v>
      </c>
      <c r="F70" t="s">
        <v>17</v>
      </c>
      <c r="G70">
        <v>1</v>
      </c>
      <c r="H70">
        <v>24.27</v>
      </c>
      <c r="I70">
        <v>24.4</v>
      </c>
      <c r="J70">
        <v>24.25</v>
      </c>
      <c r="K70">
        <v>24.33</v>
      </c>
      <c r="L70">
        <v>0.06</v>
      </c>
      <c r="M70" t="s">
        <v>15</v>
      </c>
      <c r="N70">
        <v>0.36</v>
      </c>
      <c r="O70">
        <v>2.5000000000000001E-3</v>
      </c>
    </row>
    <row r="71" spans="1:15" x14ac:dyDescent="0.35">
      <c r="A71" s="1">
        <v>45956</v>
      </c>
      <c r="B71" s="4">
        <v>45956</v>
      </c>
      <c r="C71" t="s">
        <v>20</v>
      </c>
      <c r="D71" t="s">
        <v>20</v>
      </c>
      <c r="E71">
        <v>73</v>
      </c>
      <c r="F71" t="s">
        <v>14</v>
      </c>
      <c r="G71">
        <v>1</v>
      </c>
      <c r="H71">
        <v>243.36</v>
      </c>
      <c r="I71">
        <v>253.39</v>
      </c>
      <c r="J71">
        <v>241.95</v>
      </c>
      <c r="K71">
        <v>252.92</v>
      </c>
      <c r="L71">
        <v>9.56</v>
      </c>
      <c r="M71" t="s">
        <v>15</v>
      </c>
      <c r="N71">
        <v>7.63</v>
      </c>
      <c r="O71">
        <v>3.9300000000000002E-2</v>
      </c>
    </row>
    <row r="72" spans="1:15" x14ac:dyDescent="0.35">
      <c r="A72" s="1">
        <v>45956</v>
      </c>
      <c r="B72" s="4">
        <v>45956</v>
      </c>
      <c r="C72" t="s">
        <v>13</v>
      </c>
      <c r="D72" t="s">
        <v>13</v>
      </c>
      <c r="E72">
        <v>74</v>
      </c>
      <c r="F72" t="s">
        <v>14</v>
      </c>
      <c r="G72">
        <v>1</v>
      </c>
      <c r="H72">
        <v>521.80999999999995</v>
      </c>
      <c r="I72">
        <v>524.37</v>
      </c>
      <c r="J72">
        <v>519.74</v>
      </c>
      <c r="K72">
        <v>522.63</v>
      </c>
      <c r="L72">
        <v>0.82</v>
      </c>
      <c r="M72" t="s">
        <v>15</v>
      </c>
      <c r="N72">
        <v>0.59</v>
      </c>
      <c r="O72">
        <v>1.6000000000000001E-3</v>
      </c>
    </row>
    <row r="73" spans="1:15" x14ac:dyDescent="0.35">
      <c r="A73" s="1">
        <v>45956</v>
      </c>
      <c r="B73" s="4">
        <v>45956</v>
      </c>
      <c r="C73" t="s">
        <v>19</v>
      </c>
      <c r="D73" t="s">
        <v>19</v>
      </c>
      <c r="E73">
        <v>75</v>
      </c>
      <c r="F73" t="s">
        <v>14</v>
      </c>
      <c r="G73">
        <v>1</v>
      </c>
      <c r="H73">
        <v>13</v>
      </c>
      <c r="I73">
        <v>13.89</v>
      </c>
      <c r="J73">
        <v>12.9</v>
      </c>
      <c r="K73">
        <v>13.78</v>
      </c>
      <c r="L73">
        <v>0.78</v>
      </c>
      <c r="M73" t="s">
        <v>15</v>
      </c>
      <c r="N73">
        <v>7.91</v>
      </c>
      <c r="O73">
        <v>0.06</v>
      </c>
    </row>
    <row r="74" spans="1:15" x14ac:dyDescent="0.35">
      <c r="A74" s="1">
        <v>45956</v>
      </c>
      <c r="B74" s="4">
        <v>45956</v>
      </c>
      <c r="C74" t="s">
        <v>18</v>
      </c>
      <c r="D74" t="s">
        <v>18</v>
      </c>
      <c r="E74">
        <v>76</v>
      </c>
      <c r="F74" t="s">
        <v>14</v>
      </c>
      <c r="G74">
        <v>1</v>
      </c>
      <c r="H74">
        <v>206.99</v>
      </c>
      <c r="I74">
        <v>206.99</v>
      </c>
      <c r="J74">
        <v>201.2</v>
      </c>
      <c r="K74">
        <v>202.5</v>
      </c>
      <c r="L74">
        <v>-4.49</v>
      </c>
      <c r="M74" t="s">
        <v>15</v>
      </c>
      <c r="N74">
        <v>-2.0499999999999998</v>
      </c>
      <c r="O74">
        <v>-2.1700000000000001E-2</v>
      </c>
    </row>
    <row r="75" spans="1:15" x14ac:dyDescent="0.35">
      <c r="A75" s="1">
        <v>45956</v>
      </c>
      <c r="B75" s="4">
        <v>45956</v>
      </c>
      <c r="C75" t="s">
        <v>24</v>
      </c>
      <c r="D75" t="s">
        <v>24</v>
      </c>
      <c r="E75">
        <v>77</v>
      </c>
      <c r="F75" t="s">
        <v>17</v>
      </c>
      <c r="G75">
        <v>1</v>
      </c>
      <c r="H75">
        <v>24.27</v>
      </c>
      <c r="I75">
        <v>24.4</v>
      </c>
      <c r="J75">
        <v>24.25</v>
      </c>
      <c r="K75">
        <v>24.33</v>
      </c>
      <c r="L75">
        <v>0.06</v>
      </c>
      <c r="M75" t="s">
        <v>15</v>
      </c>
      <c r="N75">
        <v>0.36</v>
      </c>
      <c r="O75">
        <v>2.5000000000000001E-3</v>
      </c>
    </row>
    <row r="76" spans="1:15" x14ac:dyDescent="0.35">
      <c r="A76" s="1">
        <v>45957</v>
      </c>
      <c r="B76" s="4">
        <v>45957</v>
      </c>
      <c r="C76" t="s">
        <v>20</v>
      </c>
      <c r="D76" t="s">
        <v>20</v>
      </c>
      <c r="E76">
        <v>78</v>
      </c>
      <c r="F76" t="s">
        <v>14</v>
      </c>
      <c r="G76">
        <v>1</v>
      </c>
      <c r="H76">
        <v>257.88</v>
      </c>
      <c r="I76">
        <v>260.42</v>
      </c>
      <c r="J76">
        <v>249.8</v>
      </c>
      <c r="K76">
        <v>259.67</v>
      </c>
      <c r="L76">
        <v>1.79</v>
      </c>
      <c r="M76" t="s">
        <v>15</v>
      </c>
      <c r="N76">
        <v>2.67</v>
      </c>
      <c r="O76">
        <v>6.8999999999999999E-3</v>
      </c>
    </row>
    <row r="77" spans="1:15" x14ac:dyDescent="0.35">
      <c r="A77" s="1">
        <v>45957</v>
      </c>
      <c r="B77" s="4">
        <v>45957</v>
      </c>
      <c r="C77" t="s">
        <v>13</v>
      </c>
      <c r="D77" t="s">
        <v>13</v>
      </c>
      <c r="E77">
        <v>79</v>
      </c>
      <c r="F77" t="s">
        <v>14</v>
      </c>
      <c r="G77">
        <v>1</v>
      </c>
      <c r="H77">
        <v>530.79</v>
      </c>
      <c r="I77">
        <v>533.58000000000004</v>
      </c>
      <c r="J77">
        <v>528.02</v>
      </c>
      <c r="K77">
        <v>530.53</v>
      </c>
      <c r="L77">
        <v>-0.26</v>
      </c>
      <c r="M77" t="s">
        <v>15</v>
      </c>
      <c r="N77">
        <v>1.51</v>
      </c>
      <c r="O77">
        <v>-5.0000000000000001E-4</v>
      </c>
    </row>
    <row r="78" spans="1:15" x14ac:dyDescent="0.35">
      <c r="A78" s="1">
        <v>45957</v>
      </c>
      <c r="B78" s="4">
        <v>45957</v>
      </c>
      <c r="C78" t="s">
        <v>19</v>
      </c>
      <c r="D78" t="s">
        <v>19</v>
      </c>
      <c r="E78">
        <v>80</v>
      </c>
      <c r="F78" t="s">
        <v>14</v>
      </c>
      <c r="G78">
        <v>1</v>
      </c>
      <c r="H78">
        <v>13.78</v>
      </c>
      <c r="I78">
        <v>13.85</v>
      </c>
      <c r="J78">
        <v>13.34</v>
      </c>
      <c r="K78">
        <v>13.41</v>
      </c>
      <c r="L78">
        <v>-0.37</v>
      </c>
      <c r="M78" t="s">
        <v>15</v>
      </c>
      <c r="N78">
        <v>-2.69</v>
      </c>
      <c r="O78">
        <v>-2.69E-2</v>
      </c>
    </row>
    <row r="79" spans="1:15" x14ac:dyDescent="0.35">
      <c r="A79" s="1">
        <v>45957</v>
      </c>
      <c r="B79" s="4">
        <v>45957</v>
      </c>
      <c r="C79" t="s">
        <v>18</v>
      </c>
      <c r="D79" t="s">
        <v>18</v>
      </c>
      <c r="E79">
        <v>81</v>
      </c>
      <c r="F79" t="s">
        <v>14</v>
      </c>
      <c r="G79">
        <v>1</v>
      </c>
      <c r="H79">
        <v>205.14</v>
      </c>
      <c r="I79">
        <v>205.38</v>
      </c>
      <c r="J79">
        <v>201.15</v>
      </c>
      <c r="K79">
        <v>201.5</v>
      </c>
      <c r="L79">
        <v>-3.64</v>
      </c>
      <c r="M79" t="s">
        <v>15</v>
      </c>
      <c r="N79">
        <v>-0.5</v>
      </c>
      <c r="O79">
        <v>-1.77E-2</v>
      </c>
    </row>
    <row r="80" spans="1:15" x14ac:dyDescent="0.35">
      <c r="A80" s="1">
        <v>45957</v>
      </c>
      <c r="B80" s="4">
        <v>45957</v>
      </c>
      <c r="C80" t="s">
        <v>24</v>
      </c>
      <c r="D80" t="s">
        <v>24</v>
      </c>
      <c r="E80">
        <v>82</v>
      </c>
      <c r="F80" t="s">
        <v>17</v>
      </c>
      <c r="G80">
        <v>1</v>
      </c>
      <c r="H80">
        <v>24.31</v>
      </c>
      <c r="I80">
        <v>24.37</v>
      </c>
      <c r="J80">
        <v>24.2</v>
      </c>
      <c r="K80">
        <v>24.34</v>
      </c>
      <c r="L80">
        <v>0.03</v>
      </c>
      <c r="M80" t="s">
        <v>15</v>
      </c>
      <c r="N80">
        <v>0.04</v>
      </c>
      <c r="O80">
        <v>1.1999999999999999E-3</v>
      </c>
    </row>
    <row r="81" spans="1:15" x14ac:dyDescent="0.35">
      <c r="A81" s="1">
        <v>45957</v>
      </c>
      <c r="B81" s="4">
        <v>45957</v>
      </c>
      <c r="C81" t="s">
        <v>20</v>
      </c>
      <c r="D81" t="s">
        <v>20</v>
      </c>
      <c r="E81">
        <v>83</v>
      </c>
      <c r="F81" t="s">
        <v>14</v>
      </c>
      <c r="G81">
        <v>1</v>
      </c>
      <c r="H81">
        <v>257.88</v>
      </c>
      <c r="I81">
        <v>260.42</v>
      </c>
      <c r="J81">
        <v>249.8</v>
      </c>
      <c r="K81">
        <v>259.67</v>
      </c>
      <c r="L81">
        <v>1.79</v>
      </c>
      <c r="M81" t="s">
        <v>15</v>
      </c>
      <c r="N81">
        <v>2.67</v>
      </c>
      <c r="O81">
        <v>6.8999999999999999E-3</v>
      </c>
    </row>
    <row r="82" spans="1:15" x14ac:dyDescent="0.35">
      <c r="A82" s="1">
        <v>45957</v>
      </c>
      <c r="B82" s="4">
        <v>45957</v>
      </c>
      <c r="C82" t="s">
        <v>13</v>
      </c>
      <c r="D82" t="s">
        <v>13</v>
      </c>
      <c r="E82">
        <v>84</v>
      </c>
      <c r="F82" t="s">
        <v>14</v>
      </c>
      <c r="G82">
        <v>1</v>
      </c>
      <c r="H82">
        <v>530.79</v>
      </c>
      <c r="I82">
        <v>533.58000000000004</v>
      </c>
      <c r="J82">
        <v>528.02</v>
      </c>
      <c r="K82">
        <v>530.53</v>
      </c>
      <c r="L82">
        <v>-0.26</v>
      </c>
      <c r="M82" t="s">
        <v>15</v>
      </c>
      <c r="N82">
        <v>1.51</v>
      </c>
      <c r="O82">
        <v>-5.0000000000000001E-4</v>
      </c>
    </row>
    <row r="83" spans="1:15" x14ac:dyDescent="0.35">
      <c r="A83" s="1">
        <v>45957</v>
      </c>
      <c r="B83" s="4">
        <v>45957</v>
      </c>
      <c r="C83" t="s">
        <v>19</v>
      </c>
      <c r="D83" t="s">
        <v>19</v>
      </c>
      <c r="E83">
        <v>85</v>
      </c>
      <c r="F83" t="s">
        <v>14</v>
      </c>
      <c r="G83">
        <v>1</v>
      </c>
      <c r="H83">
        <v>13.78</v>
      </c>
      <c r="I83">
        <v>13.85</v>
      </c>
      <c r="J83">
        <v>13.34</v>
      </c>
      <c r="K83">
        <v>13.41</v>
      </c>
      <c r="L83">
        <v>-0.37</v>
      </c>
      <c r="M83" t="s">
        <v>15</v>
      </c>
      <c r="N83">
        <v>-2.69</v>
      </c>
      <c r="O83">
        <v>-2.69E-2</v>
      </c>
    </row>
    <row r="84" spans="1:15" x14ac:dyDescent="0.35">
      <c r="A84" s="1">
        <v>45957</v>
      </c>
      <c r="B84" s="4">
        <v>45957</v>
      </c>
      <c r="C84" t="s">
        <v>18</v>
      </c>
      <c r="D84" t="s">
        <v>18</v>
      </c>
      <c r="E84">
        <v>86</v>
      </c>
      <c r="F84" t="s">
        <v>14</v>
      </c>
      <c r="G84">
        <v>1</v>
      </c>
      <c r="H84">
        <v>205.14</v>
      </c>
      <c r="I84">
        <v>205.38</v>
      </c>
      <c r="J84">
        <v>201.15</v>
      </c>
      <c r="K84">
        <v>201.5</v>
      </c>
      <c r="L84">
        <v>-3.64</v>
      </c>
      <c r="M84" t="s">
        <v>15</v>
      </c>
      <c r="N84">
        <v>-0.5</v>
      </c>
      <c r="O84">
        <v>-1.77E-2</v>
      </c>
    </row>
    <row r="85" spans="1:15" x14ac:dyDescent="0.35">
      <c r="A85" s="1">
        <v>45957</v>
      </c>
      <c r="B85" s="4">
        <v>45957</v>
      </c>
      <c r="C85" t="s">
        <v>24</v>
      </c>
      <c r="D85" t="s">
        <v>24</v>
      </c>
      <c r="E85">
        <v>87</v>
      </c>
      <c r="F85" t="s">
        <v>17</v>
      </c>
      <c r="G85">
        <v>1</v>
      </c>
      <c r="H85">
        <v>24.31</v>
      </c>
      <c r="I85">
        <v>24.37</v>
      </c>
      <c r="J85">
        <v>24.2</v>
      </c>
      <c r="K85">
        <v>24.34</v>
      </c>
      <c r="L85">
        <v>0.03</v>
      </c>
      <c r="M85" t="s">
        <v>15</v>
      </c>
      <c r="N85">
        <v>0.04</v>
      </c>
      <c r="O85">
        <v>1.1999999999999999E-3</v>
      </c>
    </row>
    <row r="86" spans="1:15" x14ac:dyDescent="0.35">
      <c r="A86" s="1">
        <v>45957</v>
      </c>
      <c r="B86" s="4">
        <v>45957</v>
      </c>
      <c r="C86" t="s">
        <v>20</v>
      </c>
      <c r="D86" t="s">
        <v>20</v>
      </c>
      <c r="E86">
        <v>88</v>
      </c>
      <c r="F86" t="s">
        <v>14</v>
      </c>
      <c r="G86">
        <v>1</v>
      </c>
      <c r="H86">
        <v>257.88</v>
      </c>
      <c r="I86">
        <v>260.42</v>
      </c>
      <c r="J86">
        <v>249.8</v>
      </c>
      <c r="K86">
        <v>259.67</v>
      </c>
      <c r="L86">
        <v>1.79</v>
      </c>
      <c r="M86" t="s">
        <v>15</v>
      </c>
      <c r="N86">
        <v>2.67</v>
      </c>
      <c r="O86">
        <v>6.8999999999999999E-3</v>
      </c>
    </row>
    <row r="87" spans="1:15" x14ac:dyDescent="0.35">
      <c r="A87" s="1">
        <v>45957</v>
      </c>
      <c r="B87" s="4">
        <v>45957</v>
      </c>
      <c r="C87" t="s">
        <v>13</v>
      </c>
      <c r="D87" t="s">
        <v>13</v>
      </c>
      <c r="E87">
        <v>89</v>
      </c>
      <c r="F87" t="s">
        <v>14</v>
      </c>
      <c r="G87">
        <v>1</v>
      </c>
      <c r="H87">
        <v>530.79</v>
      </c>
      <c r="I87">
        <v>533.58000000000004</v>
      </c>
      <c r="J87">
        <v>528.02</v>
      </c>
      <c r="K87">
        <v>530.53</v>
      </c>
      <c r="L87">
        <v>-0.26</v>
      </c>
      <c r="M87" t="s">
        <v>15</v>
      </c>
      <c r="N87">
        <v>1.51</v>
      </c>
      <c r="O87">
        <v>-5.0000000000000001E-4</v>
      </c>
    </row>
    <row r="88" spans="1:15" x14ac:dyDescent="0.35">
      <c r="A88" s="1">
        <v>45957</v>
      </c>
      <c r="B88" s="4">
        <v>45957</v>
      </c>
      <c r="C88" t="s">
        <v>19</v>
      </c>
      <c r="D88" t="s">
        <v>19</v>
      </c>
      <c r="E88">
        <v>90</v>
      </c>
      <c r="F88" t="s">
        <v>14</v>
      </c>
      <c r="G88">
        <v>1</v>
      </c>
      <c r="H88">
        <v>13.78</v>
      </c>
      <c r="I88">
        <v>13.85</v>
      </c>
      <c r="J88">
        <v>13.34</v>
      </c>
      <c r="K88">
        <v>13.41</v>
      </c>
      <c r="L88">
        <v>-0.37</v>
      </c>
      <c r="M88" t="s">
        <v>15</v>
      </c>
      <c r="N88">
        <v>-2.69</v>
      </c>
      <c r="O88">
        <v>-2.69E-2</v>
      </c>
    </row>
    <row r="89" spans="1:15" x14ac:dyDescent="0.35">
      <c r="A89" s="1">
        <v>45957</v>
      </c>
      <c r="B89" s="4">
        <v>45957</v>
      </c>
      <c r="C89" t="s">
        <v>18</v>
      </c>
      <c r="D89" t="s">
        <v>18</v>
      </c>
      <c r="E89">
        <v>91</v>
      </c>
      <c r="F89" t="s">
        <v>14</v>
      </c>
      <c r="G89">
        <v>1</v>
      </c>
      <c r="H89">
        <v>205.14</v>
      </c>
      <c r="I89">
        <v>205.38</v>
      </c>
      <c r="J89">
        <v>201.15</v>
      </c>
      <c r="K89">
        <v>201.5</v>
      </c>
      <c r="L89">
        <v>-3.64</v>
      </c>
      <c r="M89" t="s">
        <v>15</v>
      </c>
      <c r="N89">
        <v>-0.5</v>
      </c>
      <c r="O89">
        <v>-1.77E-2</v>
      </c>
    </row>
    <row r="90" spans="1:15" x14ac:dyDescent="0.35">
      <c r="A90" s="1">
        <v>45957</v>
      </c>
      <c r="B90" s="4">
        <v>45957</v>
      </c>
      <c r="C90" t="s">
        <v>24</v>
      </c>
      <c r="D90" t="s">
        <v>24</v>
      </c>
      <c r="E90">
        <v>92</v>
      </c>
      <c r="F90" t="s">
        <v>17</v>
      </c>
      <c r="G90">
        <v>1</v>
      </c>
      <c r="H90">
        <v>24.31</v>
      </c>
      <c r="I90">
        <v>24.37</v>
      </c>
      <c r="J90">
        <v>24.2</v>
      </c>
      <c r="K90">
        <v>24.34</v>
      </c>
      <c r="L90">
        <v>0.03</v>
      </c>
      <c r="M90" t="s">
        <v>15</v>
      </c>
      <c r="N90">
        <v>0.04</v>
      </c>
      <c r="O90">
        <v>1.1999999999999999E-3</v>
      </c>
    </row>
    <row r="91" spans="1:15" x14ac:dyDescent="0.35">
      <c r="A91" s="1">
        <v>45957</v>
      </c>
      <c r="B91" s="4">
        <v>45957</v>
      </c>
      <c r="C91" t="s">
        <v>20</v>
      </c>
      <c r="D91" t="s">
        <v>20</v>
      </c>
      <c r="E91">
        <v>93</v>
      </c>
      <c r="F91" t="s">
        <v>14</v>
      </c>
      <c r="G91">
        <v>1</v>
      </c>
      <c r="H91">
        <v>257.88</v>
      </c>
      <c r="I91">
        <v>260.42</v>
      </c>
      <c r="J91">
        <v>249.8</v>
      </c>
      <c r="K91">
        <v>259.67</v>
      </c>
      <c r="L91">
        <v>1.79</v>
      </c>
      <c r="M91" t="s">
        <v>15</v>
      </c>
      <c r="N91">
        <v>2.67</v>
      </c>
      <c r="O91">
        <v>6.8999999999999999E-3</v>
      </c>
    </row>
    <row r="92" spans="1:15" x14ac:dyDescent="0.35">
      <c r="A92" s="1">
        <v>45957</v>
      </c>
      <c r="B92" s="4">
        <v>45957</v>
      </c>
      <c r="C92" t="s">
        <v>13</v>
      </c>
      <c r="D92" t="s">
        <v>13</v>
      </c>
      <c r="E92">
        <v>94</v>
      </c>
      <c r="F92" t="s">
        <v>14</v>
      </c>
      <c r="G92">
        <v>1</v>
      </c>
      <c r="H92">
        <v>530.79</v>
      </c>
      <c r="I92">
        <v>533.58000000000004</v>
      </c>
      <c r="J92">
        <v>528.02</v>
      </c>
      <c r="K92">
        <v>530.53</v>
      </c>
      <c r="L92">
        <v>-0.26</v>
      </c>
      <c r="M92" t="s">
        <v>15</v>
      </c>
      <c r="N92">
        <v>1.51</v>
      </c>
      <c r="O92">
        <v>-5.0000000000000001E-4</v>
      </c>
    </row>
    <row r="93" spans="1:15" x14ac:dyDescent="0.35">
      <c r="A93" s="1">
        <v>45957</v>
      </c>
      <c r="B93" s="4">
        <v>45957</v>
      </c>
      <c r="C93" t="s">
        <v>19</v>
      </c>
      <c r="D93" t="s">
        <v>19</v>
      </c>
      <c r="E93">
        <v>95</v>
      </c>
      <c r="F93" t="s">
        <v>14</v>
      </c>
      <c r="G93">
        <v>1</v>
      </c>
      <c r="H93">
        <v>13.78</v>
      </c>
      <c r="I93">
        <v>13.85</v>
      </c>
      <c r="J93">
        <v>13.34</v>
      </c>
      <c r="K93">
        <v>13.41</v>
      </c>
      <c r="L93">
        <v>-0.37</v>
      </c>
      <c r="M93" t="s">
        <v>15</v>
      </c>
      <c r="N93">
        <v>-2.69</v>
      </c>
      <c r="O93">
        <v>-2.69E-2</v>
      </c>
    </row>
    <row r="94" spans="1:15" x14ac:dyDescent="0.35">
      <c r="A94" s="1">
        <v>45957</v>
      </c>
      <c r="B94" s="4">
        <v>45957</v>
      </c>
      <c r="C94" t="s">
        <v>18</v>
      </c>
      <c r="D94" t="s">
        <v>18</v>
      </c>
      <c r="E94">
        <v>96</v>
      </c>
      <c r="F94" t="s">
        <v>14</v>
      </c>
      <c r="G94">
        <v>1</v>
      </c>
      <c r="H94">
        <v>205.14</v>
      </c>
      <c r="I94">
        <v>205.38</v>
      </c>
      <c r="J94">
        <v>201.15</v>
      </c>
      <c r="K94">
        <v>201.5</v>
      </c>
      <c r="L94">
        <v>-3.64</v>
      </c>
      <c r="M94" t="s">
        <v>15</v>
      </c>
      <c r="N94">
        <v>-0.5</v>
      </c>
      <c r="O94">
        <v>-1.77E-2</v>
      </c>
    </row>
    <row r="95" spans="1:15" x14ac:dyDescent="0.35">
      <c r="A95" s="1">
        <v>45957</v>
      </c>
      <c r="B95" s="4">
        <v>45957</v>
      </c>
      <c r="C95" t="s">
        <v>24</v>
      </c>
      <c r="D95" t="s">
        <v>24</v>
      </c>
      <c r="E95">
        <v>97</v>
      </c>
      <c r="F95" t="s">
        <v>17</v>
      </c>
      <c r="G95">
        <v>1</v>
      </c>
      <c r="H95">
        <v>24.31</v>
      </c>
      <c r="I95">
        <v>24.37</v>
      </c>
      <c r="J95">
        <v>24.2</v>
      </c>
      <c r="K95">
        <v>24.34</v>
      </c>
      <c r="L95">
        <v>0.03</v>
      </c>
      <c r="M95" t="s">
        <v>15</v>
      </c>
      <c r="N95">
        <v>0.04</v>
      </c>
      <c r="O95">
        <v>1.1999999999999999E-3</v>
      </c>
    </row>
    <row r="96" spans="1:15" x14ac:dyDescent="0.35">
      <c r="A96" s="1">
        <v>45957</v>
      </c>
      <c r="B96" s="4">
        <v>45957</v>
      </c>
      <c r="C96" t="s">
        <v>20</v>
      </c>
      <c r="D96" t="s">
        <v>20</v>
      </c>
      <c r="E96">
        <v>98</v>
      </c>
      <c r="F96" t="s">
        <v>14</v>
      </c>
      <c r="G96">
        <v>1</v>
      </c>
      <c r="H96">
        <v>257.88</v>
      </c>
      <c r="I96">
        <v>260.42</v>
      </c>
      <c r="J96">
        <v>249.8</v>
      </c>
      <c r="K96">
        <v>259.67</v>
      </c>
      <c r="L96">
        <v>1.79</v>
      </c>
      <c r="M96" t="s">
        <v>15</v>
      </c>
      <c r="N96">
        <v>2.67</v>
      </c>
      <c r="O96">
        <v>6.8999999999999999E-3</v>
      </c>
    </row>
    <row r="97" spans="1:15" x14ac:dyDescent="0.35">
      <c r="A97" s="1">
        <v>45957</v>
      </c>
      <c r="B97" s="4">
        <v>45957</v>
      </c>
      <c r="C97" t="s">
        <v>13</v>
      </c>
      <c r="D97" t="s">
        <v>13</v>
      </c>
      <c r="E97">
        <v>99</v>
      </c>
      <c r="F97" t="s">
        <v>14</v>
      </c>
      <c r="G97">
        <v>1</v>
      </c>
      <c r="H97">
        <v>530.79</v>
      </c>
      <c r="I97">
        <v>533.58000000000004</v>
      </c>
      <c r="J97">
        <v>528.02</v>
      </c>
      <c r="K97">
        <v>530.53</v>
      </c>
      <c r="L97">
        <v>-0.26</v>
      </c>
      <c r="M97" t="s">
        <v>15</v>
      </c>
      <c r="N97">
        <v>1.51</v>
      </c>
      <c r="O97">
        <v>-5.0000000000000001E-4</v>
      </c>
    </row>
    <row r="98" spans="1:15" x14ac:dyDescent="0.35">
      <c r="A98" s="1">
        <v>45957</v>
      </c>
      <c r="B98" s="4">
        <v>45957</v>
      </c>
      <c r="C98" t="s">
        <v>19</v>
      </c>
      <c r="D98" t="s">
        <v>19</v>
      </c>
      <c r="E98">
        <v>100</v>
      </c>
      <c r="F98" t="s">
        <v>14</v>
      </c>
      <c r="G98">
        <v>1</v>
      </c>
      <c r="H98">
        <v>13.78</v>
      </c>
      <c r="I98">
        <v>13.85</v>
      </c>
      <c r="J98">
        <v>13.34</v>
      </c>
      <c r="K98">
        <v>13.41</v>
      </c>
      <c r="L98">
        <v>-0.37</v>
      </c>
      <c r="M98" t="s">
        <v>15</v>
      </c>
      <c r="N98">
        <v>-2.69</v>
      </c>
      <c r="O98">
        <v>-2.69E-2</v>
      </c>
    </row>
    <row r="99" spans="1:15" x14ac:dyDescent="0.35">
      <c r="A99" s="1">
        <v>45957</v>
      </c>
      <c r="B99" s="4">
        <v>45957</v>
      </c>
      <c r="C99" t="s">
        <v>18</v>
      </c>
      <c r="D99" t="s">
        <v>18</v>
      </c>
      <c r="E99">
        <v>101</v>
      </c>
      <c r="F99" t="s">
        <v>14</v>
      </c>
      <c r="G99">
        <v>1</v>
      </c>
      <c r="H99">
        <v>205.14</v>
      </c>
      <c r="I99">
        <v>205.38</v>
      </c>
      <c r="J99">
        <v>201.15</v>
      </c>
      <c r="K99">
        <v>201.5</v>
      </c>
      <c r="L99">
        <v>-3.64</v>
      </c>
      <c r="M99" t="s">
        <v>15</v>
      </c>
      <c r="N99">
        <v>-0.5</v>
      </c>
      <c r="O99">
        <v>-1.77E-2</v>
      </c>
    </row>
    <row r="100" spans="1:15" x14ac:dyDescent="0.35">
      <c r="A100" s="1">
        <v>45957</v>
      </c>
      <c r="B100" s="4">
        <v>45957</v>
      </c>
      <c r="C100" t="s">
        <v>24</v>
      </c>
      <c r="D100" t="s">
        <v>24</v>
      </c>
      <c r="E100">
        <v>102</v>
      </c>
      <c r="F100" t="s">
        <v>17</v>
      </c>
      <c r="G100">
        <v>1</v>
      </c>
      <c r="H100">
        <v>24.31</v>
      </c>
      <c r="I100">
        <v>24.37</v>
      </c>
      <c r="J100">
        <v>24.2</v>
      </c>
      <c r="K100">
        <v>24.34</v>
      </c>
      <c r="L100">
        <v>0.03</v>
      </c>
      <c r="M100" t="s">
        <v>15</v>
      </c>
      <c r="N100">
        <v>0.04</v>
      </c>
      <c r="O100">
        <v>1.1999999999999999E-3</v>
      </c>
    </row>
    <row r="101" spans="1:15" x14ac:dyDescent="0.35">
      <c r="A101" s="1">
        <v>45957</v>
      </c>
      <c r="B101" s="4">
        <v>45957</v>
      </c>
      <c r="C101" t="s">
        <v>20</v>
      </c>
      <c r="D101" t="s">
        <v>20</v>
      </c>
      <c r="E101">
        <v>103</v>
      </c>
      <c r="F101" t="s">
        <v>14</v>
      </c>
      <c r="G101">
        <v>1</v>
      </c>
      <c r="H101">
        <v>257.88</v>
      </c>
      <c r="I101">
        <v>260.42</v>
      </c>
      <c r="J101">
        <v>249.8</v>
      </c>
      <c r="K101">
        <v>259.67</v>
      </c>
      <c r="L101">
        <v>1.79</v>
      </c>
      <c r="M101" t="s">
        <v>15</v>
      </c>
      <c r="N101">
        <v>2.67</v>
      </c>
      <c r="O101">
        <v>6.8999999999999999E-3</v>
      </c>
    </row>
    <row r="102" spans="1:15" x14ac:dyDescent="0.35">
      <c r="A102" s="1">
        <v>45957</v>
      </c>
      <c r="B102" s="4">
        <v>45957</v>
      </c>
      <c r="C102" t="s">
        <v>13</v>
      </c>
      <c r="D102" t="s">
        <v>13</v>
      </c>
      <c r="E102">
        <v>104</v>
      </c>
      <c r="F102" t="s">
        <v>14</v>
      </c>
      <c r="G102">
        <v>1</v>
      </c>
      <c r="H102">
        <v>530.79</v>
      </c>
      <c r="I102">
        <v>533.58000000000004</v>
      </c>
      <c r="J102">
        <v>528.02</v>
      </c>
      <c r="K102">
        <v>530.53</v>
      </c>
      <c r="L102">
        <v>-0.26</v>
      </c>
      <c r="M102" t="s">
        <v>15</v>
      </c>
      <c r="N102">
        <v>1.51</v>
      </c>
      <c r="O102">
        <v>-5.0000000000000001E-4</v>
      </c>
    </row>
    <row r="103" spans="1:15" x14ac:dyDescent="0.35">
      <c r="A103" s="1">
        <v>45957</v>
      </c>
      <c r="B103" s="4">
        <v>45957</v>
      </c>
      <c r="C103" t="s">
        <v>19</v>
      </c>
      <c r="D103" t="s">
        <v>19</v>
      </c>
      <c r="E103">
        <v>105</v>
      </c>
      <c r="F103" t="s">
        <v>14</v>
      </c>
      <c r="G103">
        <v>1</v>
      </c>
      <c r="H103">
        <v>13.78</v>
      </c>
      <c r="I103">
        <v>13.85</v>
      </c>
      <c r="J103">
        <v>13.34</v>
      </c>
      <c r="K103">
        <v>13.41</v>
      </c>
      <c r="L103">
        <v>-0.37</v>
      </c>
      <c r="M103" t="s">
        <v>15</v>
      </c>
      <c r="N103">
        <v>-2.69</v>
      </c>
      <c r="O103">
        <v>-2.69E-2</v>
      </c>
    </row>
    <row r="104" spans="1:15" x14ac:dyDescent="0.35">
      <c r="A104" s="1">
        <v>45957</v>
      </c>
      <c r="B104" s="4">
        <v>45957</v>
      </c>
      <c r="C104" t="s">
        <v>18</v>
      </c>
      <c r="D104" t="s">
        <v>18</v>
      </c>
      <c r="E104">
        <v>106</v>
      </c>
      <c r="F104" t="s">
        <v>14</v>
      </c>
      <c r="G104">
        <v>1</v>
      </c>
      <c r="H104">
        <v>205.14</v>
      </c>
      <c r="I104">
        <v>205.38</v>
      </c>
      <c r="J104">
        <v>201.15</v>
      </c>
      <c r="K104">
        <v>201.5</v>
      </c>
      <c r="L104">
        <v>-3.64</v>
      </c>
      <c r="M104" t="s">
        <v>15</v>
      </c>
      <c r="N104">
        <v>-0.5</v>
      </c>
      <c r="O104">
        <v>-1.77E-2</v>
      </c>
    </row>
    <row r="105" spans="1:15" x14ac:dyDescent="0.35">
      <c r="A105" s="1">
        <v>45957</v>
      </c>
      <c r="B105" s="4">
        <v>45957</v>
      </c>
      <c r="C105" t="s">
        <v>24</v>
      </c>
      <c r="D105" t="s">
        <v>24</v>
      </c>
      <c r="E105">
        <v>107</v>
      </c>
      <c r="F105" t="s">
        <v>17</v>
      </c>
      <c r="G105">
        <v>1</v>
      </c>
      <c r="H105">
        <v>24.31</v>
      </c>
      <c r="I105">
        <v>24.37</v>
      </c>
      <c r="J105">
        <v>24.2</v>
      </c>
      <c r="K105">
        <v>24.34</v>
      </c>
      <c r="L105">
        <v>0.03</v>
      </c>
      <c r="M105" t="s">
        <v>15</v>
      </c>
      <c r="N105">
        <v>0.04</v>
      </c>
      <c r="O105">
        <v>1.1999999999999999E-3</v>
      </c>
    </row>
    <row r="106" spans="1:15" x14ac:dyDescent="0.35">
      <c r="A106" s="1">
        <v>45957</v>
      </c>
      <c r="B106" s="4">
        <v>45957</v>
      </c>
      <c r="C106" t="s">
        <v>20</v>
      </c>
      <c r="D106" t="s">
        <v>20</v>
      </c>
      <c r="E106">
        <v>108</v>
      </c>
      <c r="F106" t="s">
        <v>14</v>
      </c>
      <c r="G106">
        <v>1</v>
      </c>
      <c r="H106">
        <v>257.88</v>
      </c>
      <c r="I106">
        <v>260.42</v>
      </c>
      <c r="J106">
        <v>249.8</v>
      </c>
      <c r="K106">
        <v>259.67</v>
      </c>
      <c r="L106">
        <v>1.79</v>
      </c>
      <c r="M106" t="s">
        <v>15</v>
      </c>
      <c r="N106">
        <v>2.67</v>
      </c>
      <c r="O106">
        <v>6.8999999999999999E-3</v>
      </c>
    </row>
    <row r="107" spans="1:15" x14ac:dyDescent="0.35">
      <c r="A107" s="1">
        <v>45957</v>
      </c>
      <c r="B107" s="4">
        <v>45957</v>
      </c>
      <c r="C107" t="s">
        <v>13</v>
      </c>
      <c r="D107" t="s">
        <v>13</v>
      </c>
      <c r="E107">
        <v>109</v>
      </c>
      <c r="F107" t="s">
        <v>14</v>
      </c>
      <c r="G107">
        <v>1</v>
      </c>
      <c r="H107">
        <v>530.79</v>
      </c>
      <c r="I107">
        <v>533.58000000000004</v>
      </c>
      <c r="J107">
        <v>528.02</v>
      </c>
      <c r="K107">
        <v>530.53</v>
      </c>
      <c r="L107">
        <v>-0.26</v>
      </c>
      <c r="M107" t="s">
        <v>15</v>
      </c>
      <c r="N107">
        <v>1.51</v>
      </c>
      <c r="O107">
        <v>-5.0000000000000001E-4</v>
      </c>
    </row>
    <row r="108" spans="1:15" x14ac:dyDescent="0.35">
      <c r="A108" s="1">
        <v>45957</v>
      </c>
      <c r="B108" s="4">
        <v>45957</v>
      </c>
      <c r="C108" t="s">
        <v>19</v>
      </c>
      <c r="D108" t="s">
        <v>19</v>
      </c>
      <c r="E108">
        <v>110</v>
      </c>
      <c r="F108" t="s">
        <v>14</v>
      </c>
      <c r="G108">
        <v>1</v>
      </c>
      <c r="H108">
        <v>13.78</v>
      </c>
      <c r="I108">
        <v>13.85</v>
      </c>
      <c r="J108">
        <v>13.34</v>
      </c>
      <c r="K108">
        <v>13.41</v>
      </c>
      <c r="L108">
        <v>-0.37</v>
      </c>
      <c r="M108" t="s">
        <v>15</v>
      </c>
      <c r="N108">
        <v>-2.69</v>
      </c>
      <c r="O108">
        <v>-2.69E-2</v>
      </c>
    </row>
    <row r="109" spans="1:15" x14ac:dyDescent="0.35">
      <c r="A109" s="1">
        <v>45957</v>
      </c>
      <c r="B109" s="4">
        <v>45957</v>
      </c>
      <c r="C109" t="s">
        <v>18</v>
      </c>
      <c r="D109" t="s">
        <v>18</v>
      </c>
      <c r="E109">
        <v>111</v>
      </c>
      <c r="F109" t="s">
        <v>14</v>
      </c>
      <c r="G109">
        <v>1</v>
      </c>
      <c r="H109">
        <v>205.14</v>
      </c>
      <c r="I109">
        <v>205.38</v>
      </c>
      <c r="J109">
        <v>201.15</v>
      </c>
      <c r="K109">
        <v>201.5</v>
      </c>
      <c r="L109">
        <v>-3.64</v>
      </c>
      <c r="M109" t="s">
        <v>15</v>
      </c>
      <c r="N109">
        <v>-0.5</v>
      </c>
      <c r="O109">
        <v>-1.77E-2</v>
      </c>
    </row>
    <row r="110" spans="1:15" x14ac:dyDescent="0.35">
      <c r="A110" s="1">
        <v>45957</v>
      </c>
      <c r="B110" s="4">
        <v>45957</v>
      </c>
      <c r="C110" t="s">
        <v>24</v>
      </c>
      <c r="D110" t="s">
        <v>24</v>
      </c>
      <c r="E110">
        <v>112</v>
      </c>
      <c r="F110" t="s">
        <v>17</v>
      </c>
      <c r="G110">
        <v>1</v>
      </c>
      <c r="H110">
        <v>24.31</v>
      </c>
      <c r="I110">
        <v>24.37</v>
      </c>
      <c r="J110">
        <v>24.2</v>
      </c>
      <c r="K110">
        <v>24.34</v>
      </c>
      <c r="L110">
        <v>0.03</v>
      </c>
      <c r="M110" t="s">
        <v>15</v>
      </c>
      <c r="N110">
        <v>0.04</v>
      </c>
      <c r="O110">
        <v>1.1999999999999999E-3</v>
      </c>
    </row>
    <row r="111" spans="1:15" x14ac:dyDescent="0.35">
      <c r="A111" s="1">
        <v>45957</v>
      </c>
      <c r="B111" s="4">
        <v>45957</v>
      </c>
      <c r="C111" t="s">
        <v>20</v>
      </c>
      <c r="D111" t="s">
        <v>20</v>
      </c>
      <c r="E111">
        <v>113</v>
      </c>
      <c r="H111">
        <v>257.88</v>
      </c>
      <c r="I111">
        <v>260.42</v>
      </c>
      <c r="J111">
        <v>249.8</v>
      </c>
      <c r="K111">
        <v>259.67</v>
      </c>
      <c r="L111">
        <v>1.79</v>
      </c>
      <c r="M111" t="s">
        <v>15</v>
      </c>
      <c r="N111">
        <v>2.67</v>
      </c>
      <c r="O111">
        <v>6.8999999999999999E-3</v>
      </c>
    </row>
    <row r="112" spans="1:15" x14ac:dyDescent="0.35">
      <c r="A112" s="1">
        <v>45957</v>
      </c>
      <c r="B112" s="4">
        <v>45957</v>
      </c>
      <c r="C112" t="s">
        <v>13</v>
      </c>
      <c r="D112" t="s">
        <v>13</v>
      </c>
      <c r="E112">
        <v>114</v>
      </c>
      <c r="H112">
        <v>530.79</v>
      </c>
      <c r="I112">
        <v>533.58000000000004</v>
      </c>
      <c r="J112">
        <v>528.02</v>
      </c>
      <c r="K112">
        <v>530.53</v>
      </c>
      <c r="L112">
        <v>-0.26</v>
      </c>
      <c r="M112" t="s">
        <v>15</v>
      </c>
      <c r="N112">
        <v>1.51</v>
      </c>
      <c r="O112">
        <v>-5.0000000000000001E-4</v>
      </c>
    </row>
    <row r="113" spans="1:16" x14ac:dyDescent="0.35">
      <c r="A113" s="1">
        <v>45957</v>
      </c>
      <c r="B113" s="4">
        <v>45957</v>
      </c>
      <c r="C113" t="s">
        <v>19</v>
      </c>
      <c r="D113" t="s">
        <v>19</v>
      </c>
      <c r="E113">
        <v>115</v>
      </c>
      <c r="H113">
        <v>13.78</v>
      </c>
      <c r="I113">
        <v>13.85</v>
      </c>
      <c r="J113">
        <v>13.34</v>
      </c>
      <c r="K113">
        <v>13.41</v>
      </c>
      <c r="L113">
        <v>-0.37</v>
      </c>
      <c r="M113" t="s">
        <v>15</v>
      </c>
      <c r="N113">
        <v>-2.69</v>
      </c>
      <c r="O113">
        <v>-2.69E-2</v>
      </c>
    </row>
    <row r="114" spans="1:16" x14ac:dyDescent="0.35">
      <c r="A114" s="1">
        <v>45957</v>
      </c>
      <c r="B114" s="4">
        <v>45957</v>
      </c>
      <c r="C114" t="s">
        <v>18</v>
      </c>
      <c r="D114" t="s">
        <v>18</v>
      </c>
      <c r="E114">
        <v>116</v>
      </c>
      <c r="H114">
        <v>205.14</v>
      </c>
      <c r="I114">
        <v>205.38</v>
      </c>
      <c r="J114">
        <v>201.15</v>
      </c>
      <c r="K114">
        <v>201.5</v>
      </c>
      <c r="L114">
        <v>-3.64</v>
      </c>
      <c r="M114" t="s">
        <v>15</v>
      </c>
      <c r="N114">
        <v>-0.5</v>
      </c>
      <c r="O114">
        <v>-1.77E-2</v>
      </c>
    </row>
    <row r="115" spans="1:16" x14ac:dyDescent="0.35">
      <c r="A115" s="1">
        <v>45957</v>
      </c>
      <c r="B115" s="4">
        <v>45957</v>
      </c>
      <c r="C115" t="s">
        <v>24</v>
      </c>
      <c r="D115" t="s">
        <v>24</v>
      </c>
      <c r="E115">
        <v>117</v>
      </c>
      <c r="H115">
        <v>24.31</v>
      </c>
      <c r="I115">
        <v>24.37</v>
      </c>
      <c r="J115">
        <v>24.2</v>
      </c>
      <c r="K115">
        <v>24.34</v>
      </c>
      <c r="L115">
        <v>0.03</v>
      </c>
      <c r="M115" t="s">
        <v>15</v>
      </c>
      <c r="N115">
        <v>0.04</v>
      </c>
      <c r="O115">
        <v>1.1999999999999999E-3</v>
      </c>
    </row>
    <row r="116" spans="1:16" x14ac:dyDescent="0.35">
      <c r="A116" s="1">
        <v>45957</v>
      </c>
      <c r="B116" s="4">
        <v>45957</v>
      </c>
      <c r="C116" t="s">
        <v>25</v>
      </c>
      <c r="D116" t="s">
        <v>25</v>
      </c>
      <c r="E116">
        <v>118</v>
      </c>
      <c r="F116" t="s">
        <v>17</v>
      </c>
      <c r="G116">
        <v>1</v>
      </c>
      <c r="H116">
        <v>23.4</v>
      </c>
      <c r="I116">
        <v>24.95</v>
      </c>
      <c r="J116">
        <v>23</v>
      </c>
      <c r="K116">
        <v>24.17</v>
      </c>
      <c r="L116">
        <v>0.77</v>
      </c>
      <c r="M116" t="s">
        <v>15</v>
      </c>
      <c r="N116">
        <v>41.18</v>
      </c>
      <c r="O116">
        <v>3.2899999999999999E-2</v>
      </c>
    </row>
    <row r="117" spans="1:16" x14ac:dyDescent="0.35">
      <c r="A117" s="1">
        <v>45957</v>
      </c>
      <c r="B117" s="4">
        <v>45957</v>
      </c>
      <c r="C117" t="s">
        <v>26</v>
      </c>
      <c r="D117" t="s">
        <v>26</v>
      </c>
      <c r="E117">
        <v>119</v>
      </c>
      <c r="F117" t="s">
        <v>17</v>
      </c>
      <c r="G117">
        <v>1</v>
      </c>
      <c r="H117">
        <v>186.43</v>
      </c>
      <c r="I117">
        <v>186.91</v>
      </c>
      <c r="J117">
        <v>181.33</v>
      </c>
      <c r="K117">
        <v>181.39</v>
      </c>
      <c r="L117">
        <v>-5.04</v>
      </c>
      <c r="M117" t="s">
        <v>15</v>
      </c>
      <c r="N117">
        <v>1.81</v>
      </c>
      <c r="O117">
        <v>-2.7E-2</v>
      </c>
    </row>
    <row r="118" spans="1:16" x14ac:dyDescent="0.35">
      <c r="A118" s="1">
        <v>45957</v>
      </c>
      <c r="B118" s="4">
        <v>45957</v>
      </c>
      <c r="C118" t="s">
        <v>16</v>
      </c>
      <c r="D118" t="s">
        <v>16</v>
      </c>
      <c r="E118">
        <v>120</v>
      </c>
      <c r="F118" t="s">
        <v>17</v>
      </c>
      <c r="G118">
        <v>1</v>
      </c>
      <c r="H118">
        <v>439.98</v>
      </c>
      <c r="I118">
        <v>460.16</v>
      </c>
      <c r="J118">
        <v>438.69</v>
      </c>
      <c r="K118">
        <v>452.42</v>
      </c>
      <c r="L118">
        <v>12.44</v>
      </c>
      <c r="M118" t="s">
        <v>15</v>
      </c>
      <c r="N118">
        <v>4.3099999999999996</v>
      </c>
      <c r="O118">
        <v>2.8299999999999999E-2</v>
      </c>
    </row>
    <row r="119" spans="1:16" x14ac:dyDescent="0.35">
      <c r="A119" s="1">
        <v>45957</v>
      </c>
      <c r="B119" s="4">
        <v>45957</v>
      </c>
      <c r="C119" t="s">
        <v>27</v>
      </c>
      <c r="D119" t="s">
        <v>27</v>
      </c>
      <c r="E119">
        <v>121</v>
      </c>
      <c r="F119" t="s">
        <v>17</v>
      </c>
      <c r="G119">
        <v>1</v>
      </c>
      <c r="H119">
        <v>189.99</v>
      </c>
      <c r="I119">
        <v>192</v>
      </c>
      <c r="J119">
        <v>188.43</v>
      </c>
      <c r="K119">
        <v>191.49</v>
      </c>
      <c r="L119">
        <v>1.5</v>
      </c>
      <c r="M119" t="s">
        <v>15</v>
      </c>
      <c r="N119">
        <v>2.81</v>
      </c>
      <c r="O119">
        <v>7.9000000000000008E-3</v>
      </c>
    </row>
    <row r="120" spans="1:16" x14ac:dyDescent="0.35">
      <c r="A120" s="1">
        <v>45957</v>
      </c>
      <c r="B120" s="4">
        <v>45957</v>
      </c>
      <c r="C120" t="s">
        <v>28</v>
      </c>
      <c r="D120" t="s">
        <v>28</v>
      </c>
      <c r="E120">
        <v>122</v>
      </c>
      <c r="H120">
        <v>264.62</v>
      </c>
      <c r="I120">
        <v>268.86</v>
      </c>
      <c r="J120">
        <v>264.39</v>
      </c>
      <c r="K120">
        <v>268.55</v>
      </c>
      <c r="L120">
        <v>3.93</v>
      </c>
      <c r="M120" t="s">
        <v>15</v>
      </c>
      <c r="N120">
        <v>2.2799999999999998</v>
      </c>
      <c r="O120">
        <v>1.49E-2</v>
      </c>
    </row>
    <row r="121" spans="1:16" x14ac:dyDescent="0.35">
      <c r="A121" s="1">
        <v>45958</v>
      </c>
      <c r="B121" s="4">
        <v>45958</v>
      </c>
      <c r="C121" t="s">
        <v>25</v>
      </c>
      <c r="D121" t="s">
        <v>25</v>
      </c>
      <c r="F121" s="2" t="e">
        <f>VLOOKUP(P121,'llm reader copy paste from py'!$E:$F,2,0)</f>
        <v>#N/A</v>
      </c>
      <c r="H121">
        <v>24.13</v>
      </c>
      <c r="I121">
        <v>25</v>
      </c>
      <c r="J121">
        <v>23.78</v>
      </c>
      <c r="K121">
        <v>24.29</v>
      </c>
      <c r="L121">
        <v>0.16</v>
      </c>
      <c r="M121" t="s">
        <v>15</v>
      </c>
      <c r="N121">
        <v>0.5</v>
      </c>
      <c r="O121">
        <v>6.6E-3</v>
      </c>
      <c r="P121" s="2" t="str">
        <f t="shared" ref="P121:P184" si="0">_xlfn.CONCAT(B121,C121)</f>
        <v>45958DYN</v>
      </c>
    </row>
    <row r="122" spans="1:16" x14ac:dyDescent="0.35">
      <c r="A122" s="1">
        <v>45958</v>
      </c>
      <c r="B122" s="4">
        <v>45958</v>
      </c>
      <c r="C122" t="s">
        <v>26</v>
      </c>
      <c r="D122" t="s">
        <v>26</v>
      </c>
      <c r="F122" s="2" t="str">
        <f>VLOOKUP(P122,'llm reader copy paste from py'!$E:$F,2,0)</f>
        <v>bullish</v>
      </c>
      <c r="H122">
        <v>181.4</v>
      </c>
      <c r="I122">
        <v>181.52</v>
      </c>
      <c r="J122">
        <v>175.18</v>
      </c>
      <c r="K122">
        <v>179.98</v>
      </c>
      <c r="L122">
        <v>-1.42</v>
      </c>
      <c r="M122" t="s">
        <v>15</v>
      </c>
      <c r="N122">
        <v>-0.78</v>
      </c>
      <c r="O122">
        <v>-7.7999999999999996E-3</v>
      </c>
      <c r="P122" s="2" t="str">
        <f t="shared" si="0"/>
        <v>45958LULU</v>
      </c>
    </row>
    <row r="123" spans="1:16" x14ac:dyDescent="0.35">
      <c r="A123" s="1">
        <v>45958</v>
      </c>
      <c r="B123" s="4">
        <v>45958</v>
      </c>
      <c r="C123" t="s">
        <v>27</v>
      </c>
      <c r="D123" t="s">
        <v>27</v>
      </c>
      <c r="F123" s="2" t="str">
        <f>VLOOKUP(P123,'llm reader copy paste from py'!$E:$F,2,0)</f>
        <v>bullish</v>
      </c>
      <c r="H123">
        <v>193.05</v>
      </c>
      <c r="I123">
        <v>203.15</v>
      </c>
      <c r="J123">
        <v>191.91</v>
      </c>
      <c r="K123">
        <v>201.03</v>
      </c>
      <c r="L123">
        <v>7.98</v>
      </c>
      <c r="M123" t="s">
        <v>15</v>
      </c>
      <c r="N123">
        <v>4.9800000000000004</v>
      </c>
      <c r="O123">
        <v>4.1300000000000003E-2</v>
      </c>
      <c r="P123" s="2" t="str">
        <f t="shared" si="0"/>
        <v>45958NVDA</v>
      </c>
    </row>
    <row r="124" spans="1:16" x14ac:dyDescent="0.35">
      <c r="A124" s="1">
        <v>45958</v>
      </c>
      <c r="B124" s="4">
        <v>45958</v>
      </c>
      <c r="C124" t="s">
        <v>28</v>
      </c>
      <c r="D124" t="s">
        <v>28</v>
      </c>
      <c r="F124" s="2" t="str">
        <f>VLOOKUP(P124,'llm reader copy paste from py'!$E:$F,2,0)</f>
        <v>bearish</v>
      </c>
      <c r="H124">
        <v>268.73</v>
      </c>
      <c r="I124">
        <v>269.63</v>
      </c>
      <c r="J124">
        <v>267.89</v>
      </c>
      <c r="K124">
        <v>268.74</v>
      </c>
      <c r="L124">
        <v>0.01</v>
      </c>
      <c r="M124" t="s">
        <v>15</v>
      </c>
      <c r="N124">
        <v>7.0000000000000007E-2</v>
      </c>
      <c r="O124">
        <v>0</v>
      </c>
      <c r="P124" s="2" t="str">
        <f t="shared" si="0"/>
        <v>45958AAPL</v>
      </c>
    </row>
    <row r="125" spans="1:16" x14ac:dyDescent="0.35">
      <c r="A125" s="1">
        <v>45958</v>
      </c>
      <c r="B125" s="4">
        <v>45958</v>
      </c>
      <c r="C125" t="s">
        <v>20</v>
      </c>
      <c r="D125" t="s">
        <v>20</v>
      </c>
      <c r="F125" s="2" t="str">
        <f>VLOOKUP(P125,'llm reader copy paste from py'!$E:$F,2,0)</f>
        <v>bearish</v>
      </c>
      <c r="H125">
        <v>259.14</v>
      </c>
      <c r="I125">
        <v>264.58</v>
      </c>
      <c r="J125">
        <v>257</v>
      </c>
      <c r="K125">
        <v>258.01</v>
      </c>
      <c r="L125">
        <v>-1.1299999999999999</v>
      </c>
      <c r="M125" t="s">
        <v>15</v>
      </c>
      <c r="N125">
        <v>-0.64</v>
      </c>
      <c r="O125">
        <v>-4.4000000000000003E-3</v>
      </c>
      <c r="P125" s="2" t="str">
        <f t="shared" si="0"/>
        <v>45958AMD</v>
      </c>
    </row>
    <row r="126" spans="1:16" x14ac:dyDescent="0.35">
      <c r="A126" s="1">
        <v>45959</v>
      </c>
      <c r="B126" s="4">
        <v>45959</v>
      </c>
      <c r="C126" t="s">
        <v>13</v>
      </c>
      <c r="D126" t="s">
        <v>13</v>
      </c>
      <c r="F126" s="2" t="str">
        <f>VLOOKUP(P126,'llm reader copy paste from py'!$E:$F,2,0)</f>
        <v>bullish</v>
      </c>
      <c r="H126">
        <v>543.91999999999996</v>
      </c>
      <c r="I126">
        <v>545.25</v>
      </c>
      <c r="J126">
        <v>535.73</v>
      </c>
      <c r="K126">
        <v>540.54</v>
      </c>
      <c r="L126">
        <v>-3.38</v>
      </c>
      <c r="M126" t="s">
        <v>15</v>
      </c>
      <c r="N126">
        <v>-0.1</v>
      </c>
      <c r="O126">
        <v>-6.1999999999999998E-3</v>
      </c>
      <c r="P126" s="2" t="str">
        <f t="shared" si="0"/>
        <v>45959MSFT</v>
      </c>
    </row>
    <row r="127" spans="1:16" x14ac:dyDescent="0.35">
      <c r="A127" s="1">
        <v>45959</v>
      </c>
      <c r="B127" s="4">
        <v>45959</v>
      </c>
      <c r="C127" t="s">
        <v>27</v>
      </c>
      <c r="D127" t="s">
        <v>27</v>
      </c>
      <c r="F127" s="2" t="str">
        <f>VLOOKUP(P127,'llm reader copy paste from py'!$E:$F,2,0)</f>
        <v>bullish</v>
      </c>
      <c r="H127">
        <v>207.98</v>
      </c>
      <c r="I127">
        <v>212.19</v>
      </c>
      <c r="J127">
        <v>204.78</v>
      </c>
      <c r="K127">
        <v>207.04</v>
      </c>
      <c r="L127">
        <v>-0.94</v>
      </c>
      <c r="M127" t="s">
        <v>15</v>
      </c>
      <c r="N127">
        <v>2.99</v>
      </c>
      <c r="O127">
        <v>-4.4999999999999997E-3</v>
      </c>
      <c r="P127" s="2" t="str">
        <f t="shared" si="0"/>
        <v>45959NVDA</v>
      </c>
    </row>
    <row r="128" spans="1:16" x14ac:dyDescent="0.35">
      <c r="A128" s="1">
        <v>45959</v>
      </c>
      <c r="B128" s="4">
        <v>45959</v>
      </c>
      <c r="C128" t="s">
        <v>29</v>
      </c>
      <c r="D128" t="s">
        <v>29</v>
      </c>
      <c r="F128" s="2" t="str">
        <f>VLOOKUP(P128,'llm reader copy paste from py'!$E:$F,2,0)</f>
        <v>bullish</v>
      </c>
      <c r="H128">
        <v>231.67</v>
      </c>
      <c r="I128">
        <v>232.82</v>
      </c>
      <c r="J128">
        <v>227.76</v>
      </c>
      <c r="K128">
        <v>230.3</v>
      </c>
      <c r="L128">
        <v>-1.37</v>
      </c>
      <c r="M128" t="s">
        <v>15</v>
      </c>
      <c r="N128">
        <v>0.46</v>
      </c>
      <c r="O128">
        <v>-5.8999999999999999E-3</v>
      </c>
      <c r="P128" s="2" t="str">
        <f t="shared" si="0"/>
        <v>45959AMZN</v>
      </c>
    </row>
    <row r="129" spans="1:16" x14ac:dyDescent="0.35">
      <c r="A129" s="1">
        <v>45959</v>
      </c>
      <c r="B129" s="4">
        <v>45959</v>
      </c>
      <c r="C129" t="s">
        <v>30</v>
      </c>
      <c r="D129" t="s">
        <v>30</v>
      </c>
      <c r="F129" s="2" t="str">
        <f>VLOOKUP(P129,'llm reader copy paste from py'!$E:$F,2,0)</f>
        <v>bullish</v>
      </c>
      <c r="H129">
        <v>95.21</v>
      </c>
      <c r="I129">
        <v>97.57</v>
      </c>
      <c r="J129">
        <v>94.5</v>
      </c>
      <c r="K129">
        <v>95.93</v>
      </c>
      <c r="L129">
        <v>0.72</v>
      </c>
      <c r="M129" t="s">
        <v>15</v>
      </c>
      <c r="N129">
        <v>1.04</v>
      </c>
      <c r="O129">
        <v>7.6E-3</v>
      </c>
      <c r="P129" s="2" t="str">
        <f t="shared" si="0"/>
        <v>45959UAL</v>
      </c>
    </row>
    <row r="130" spans="1:16" x14ac:dyDescent="0.35">
      <c r="A130" s="1">
        <v>45959</v>
      </c>
      <c r="B130" s="4">
        <v>45959</v>
      </c>
      <c r="C130" t="s">
        <v>31</v>
      </c>
      <c r="D130" t="s">
        <v>31</v>
      </c>
      <c r="F130" s="2" t="str">
        <f>VLOOKUP(P130,'llm reader copy paste from py'!$E:$F,2,0)</f>
        <v>bearish</v>
      </c>
      <c r="H130">
        <v>72.53</v>
      </c>
      <c r="I130">
        <v>72.56</v>
      </c>
      <c r="J130">
        <v>69.16</v>
      </c>
      <c r="K130">
        <v>69.52</v>
      </c>
      <c r="L130">
        <v>-3.01</v>
      </c>
      <c r="M130" t="s">
        <v>15</v>
      </c>
      <c r="N130">
        <v>-4.57</v>
      </c>
      <c r="O130">
        <v>-4.1500000000000002E-2</v>
      </c>
      <c r="P130" s="2" t="str">
        <f t="shared" si="0"/>
        <v>45959PYPL</v>
      </c>
    </row>
    <row r="131" spans="1:16" x14ac:dyDescent="0.35">
      <c r="A131" s="1">
        <v>45960</v>
      </c>
      <c r="B131" s="4">
        <v>45960</v>
      </c>
      <c r="C131" t="s">
        <v>32</v>
      </c>
      <c r="D131" t="s">
        <v>32</v>
      </c>
      <c r="F131" s="2" t="str">
        <f>VLOOKUP(P131,'llm reader copy paste from py'!$E:$F,2,0)</f>
        <v>bullish</v>
      </c>
      <c r="H131">
        <v>926.73</v>
      </c>
      <c r="I131">
        <v>964.83</v>
      </c>
      <c r="J131">
        <v>896.93</v>
      </c>
      <c r="K131">
        <v>934.68</v>
      </c>
      <c r="L131">
        <v>7.95</v>
      </c>
      <c r="M131" t="s">
        <v>15</v>
      </c>
      <c r="N131">
        <v>2.52</v>
      </c>
      <c r="O131">
        <v>8.6E-3</v>
      </c>
      <c r="P131" s="2" t="str">
        <f t="shared" si="0"/>
        <v>45960NOW</v>
      </c>
    </row>
    <row r="132" spans="1:16" x14ac:dyDescent="0.35">
      <c r="A132" s="1">
        <v>45960</v>
      </c>
      <c r="B132" s="4">
        <v>45960</v>
      </c>
      <c r="C132" t="s">
        <v>33</v>
      </c>
      <c r="D132" t="s">
        <v>33</v>
      </c>
      <c r="F132" s="2" t="str">
        <f>VLOOKUP(P132,'llm reader copy paste from py'!$E:$F,2,0)</f>
        <v>bearish</v>
      </c>
      <c r="H132">
        <v>312.10000000000002</v>
      </c>
      <c r="I132">
        <v>326.70999999999998</v>
      </c>
      <c r="J132">
        <v>301.26</v>
      </c>
      <c r="K132">
        <v>305.07</v>
      </c>
      <c r="L132">
        <v>-7.03</v>
      </c>
      <c r="M132" t="s">
        <v>15</v>
      </c>
      <c r="N132">
        <v>-13.81</v>
      </c>
      <c r="O132">
        <v>-2.2499999999999999E-2</v>
      </c>
      <c r="P132" s="2" t="str">
        <f t="shared" si="0"/>
        <v>45960CVNA</v>
      </c>
    </row>
    <row r="133" spans="1:16" x14ac:dyDescent="0.35">
      <c r="A133" s="1">
        <v>45960</v>
      </c>
      <c r="B133" s="4">
        <v>45960</v>
      </c>
      <c r="C133" t="s">
        <v>13</v>
      </c>
      <c r="D133" t="s">
        <v>13</v>
      </c>
      <c r="F133" s="2" t="str">
        <f>VLOOKUP(P133,'llm reader copy paste from py'!$E:$F,2,0)</f>
        <v>bullish</v>
      </c>
      <c r="H133">
        <v>529.49</v>
      </c>
      <c r="I133">
        <v>533.97</v>
      </c>
      <c r="J133">
        <v>521.14</v>
      </c>
      <c r="K133">
        <v>524.78</v>
      </c>
      <c r="L133">
        <v>-4.71</v>
      </c>
      <c r="M133" t="s">
        <v>15</v>
      </c>
      <c r="N133">
        <v>-2.92</v>
      </c>
      <c r="O133">
        <v>-8.8999999999999999E-3</v>
      </c>
      <c r="P133" s="2" t="str">
        <f t="shared" si="0"/>
        <v>45960MSFT</v>
      </c>
    </row>
    <row r="134" spans="1:16" x14ac:dyDescent="0.35">
      <c r="A134" s="1">
        <v>45960</v>
      </c>
      <c r="B134" s="4">
        <v>45960</v>
      </c>
      <c r="C134" t="s">
        <v>34</v>
      </c>
      <c r="D134" t="s">
        <v>34</v>
      </c>
      <c r="F134" s="2" t="str">
        <f>VLOOKUP(P134,'llm reader copy paste from py'!$E:$F,2,0)</f>
        <v>bearish</v>
      </c>
      <c r="H134">
        <v>81.64</v>
      </c>
      <c r="I134">
        <v>85.43</v>
      </c>
      <c r="J134">
        <v>80.67</v>
      </c>
      <c r="K134">
        <v>82.55</v>
      </c>
      <c r="L134">
        <v>0.91</v>
      </c>
      <c r="M134" t="s">
        <v>15</v>
      </c>
      <c r="N134">
        <v>-1.21</v>
      </c>
      <c r="O134">
        <v>1.11E-2</v>
      </c>
      <c r="P134" s="2" t="str">
        <f t="shared" si="0"/>
        <v>45960SBUX</v>
      </c>
    </row>
    <row r="135" spans="1:16" x14ac:dyDescent="0.35">
      <c r="A135" s="1">
        <v>45960</v>
      </c>
      <c r="B135" s="4">
        <v>45960</v>
      </c>
      <c r="C135" t="s">
        <v>35</v>
      </c>
      <c r="D135" t="s">
        <v>35</v>
      </c>
      <c r="F135" s="2" t="str">
        <f>VLOOKUP(P135,'llm reader copy paste from py'!$E:$F,2,0)</f>
        <v>bullish</v>
      </c>
      <c r="H135">
        <v>577.89</v>
      </c>
      <c r="I135">
        <v>593.77</v>
      </c>
      <c r="J135">
        <v>575.77</v>
      </c>
      <c r="K135">
        <v>583.15</v>
      </c>
      <c r="L135">
        <v>5.26</v>
      </c>
      <c r="M135" t="s">
        <v>15</v>
      </c>
      <c r="N135">
        <v>-0.4</v>
      </c>
      <c r="O135">
        <v>9.1000000000000004E-3</v>
      </c>
      <c r="P135" s="2" t="str">
        <f t="shared" si="0"/>
        <v>45960CAT</v>
      </c>
    </row>
    <row r="136" spans="1:16" x14ac:dyDescent="0.35">
      <c r="A136" s="1">
        <v>45961</v>
      </c>
      <c r="B136" s="4">
        <v>45961</v>
      </c>
      <c r="C136" t="s">
        <v>29</v>
      </c>
      <c r="D136" t="s">
        <v>29</v>
      </c>
      <c r="F136" s="2" t="str">
        <f>VLOOKUP(P136,'llm reader copy paste from py'!$E:$F,2,0)</f>
        <v>bullish</v>
      </c>
      <c r="H136">
        <v>250.1</v>
      </c>
      <c r="I136">
        <v>250.5</v>
      </c>
      <c r="J136">
        <v>243.98</v>
      </c>
      <c r="K136">
        <v>244.22</v>
      </c>
      <c r="L136">
        <v>-5.88</v>
      </c>
      <c r="M136" t="s">
        <v>15</v>
      </c>
      <c r="N136">
        <v>9.58</v>
      </c>
      <c r="O136">
        <v>-2.35E-2</v>
      </c>
      <c r="P136" s="2" t="str">
        <f t="shared" si="0"/>
        <v>45961AMZN</v>
      </c>
    </row>
    <row r="137" spans="1:16" x14ac:dyDescent="0.35">
      <c r="A137" s="1">
        <v>45961</v>
      </c>
      <c r="B137" s="4">
        <v>45961</v>
      </c>
      <c r="C137" t="s">
        <v>36</v>
      </c>
      <c r="D137" t="s">
        <v>36</v>
      </c>
      <c r="F137" s="2" t="str">
        <f>VLOOKUP(P137,'llm reader copy paste from py'!$E:$F,2,0)</f>
        <v>bullish</v>
      </c>
      <c r="H137">
        <v>110.54</v>
      </c>
      <c r="I137">
        <v>113.49</v>
      </c>
      <c r="J137">
        <v>110.2</v>
      </c>
      <c r="K137">
        <v>111.89</v>
      </c>
      <c r="L137">
        <v>1.35</v>
      </c>
      <c r="M137" t="s">
        <v>15</v>
      </c>
      <c r="N137">
        <v>2.74</v>
      </c>
      <c r="O137">
        <v>1.2200000000000001E-2</v>
      </c>
      <c r="P137" s="2" t="str">
        <f t="shared" si="0"/>
        <v>45961NFLX</v>
      </c>
    </row>
    <row r="138" spans="1:16" x14ac:dyDescent="0.35">
      <c r="A138" s="1">
        <v>45961</v>
      </c>
      <c r="B138" s="4">
        <v>45961</v>
      </c>
      <c r="C138" t="s">
        <v>37</v>
      </c>
      <c r="D138" t="s">
        <v>37</v>
      </c>
      <c r="F138" s="2" t="str">
        <f>VLOOKUP(P138,'llm reader copy paste from py'!$E:$F,2,0)</f>
        <v>bearish</v>
      </c>
      <c r="H138">
        <v>118.6</v>
      </c>
      <c r="I138">
        <v>119.85</v>
      </c>
      <c r="J138">
        <v>111.2</v>
      </c>
      <c r="K138">
        <v>113.72</v>
      </c>
      <c r="L138">
        <v>-4.88</v>
      </c>
      <c r="M138" t="s">
        <v>15</v>
      </c>
      <c r="N138">
        <v>0.64</v>
      </c>
      <c r="O138">
        <v>-4.1099999999999998E-2</v>
      </c>
      <c r="P138" s="2" t="str">
        <f t="shared" si="0"/>
        <v>45961RBLX</v>
      </c>
    </row>
    <row r="139" spans="1:16" x14ac:dyDescent="0.35">
      <c r="A139" s="1">
        <v>45961</v>
      </c>
      <c r="B139" s="4">
        <v>45961</v>
      </c>
      <c r="C139" t="s">
        <v>38</v>
      </c>
      <c r="D139" t="s">
        <v>38</v>
      </c>
      <c r="F139" s="2" t="str">
        <f>VLOOKUP(P139,'llm reader copy paste from py'!$E:$F,2,0)</f>
        <v>bearish</v>
      </c>
      <c r="H139">
        <v>97.13</v>
      </c>
      <c r="I139">
        <v>98</v>
      </c>
      <c r="J139">
        <v>94.62</v>
      </c>
      <c r="K139">
        <v>96.69</v>
      </c>
      <c r="L139">
        <v>-0.44</v>
      </c>
      <c r="M139" t="s">
        <v>15</v>
      </c>
      <c r="N139">
        <v>-0.94</v>
      </c>
      <c r="O139">
        <v>-4.4999999999999997E-3</v>
      </c>
      <c r="P139" s="2" t="str">
        <f t="shared" si="0"/>
        <v>45961EL</v>
      </c>
    </row>
    <row r="140" spans="1:16" x14ac:dyDescent="0.35">
      <c r="A140" s="1">
        <v>45961</v>
      </c>
      <c r="B140" s="4">
        <v>45961</v>
      </c>
      <c r="C140" t="s">
        <v>35</v>
      </c>
      <c r="D140" t="s">
        <v>35</v>
      </c>
      <c r="F140" s="2" t="str">
        <f>VLOOKUP(P140,'llm reader copy paste from py'!$E:$F,2,0)</f>
        <v>bullish</v>
      </c>
      <c r="H140">
        <v>584.03</v>
      </c>
      <c r="I140">
        <v>587.04999999999995</v>
      </c>
      <c r="J140">
        <v>571.35</v>
      </c>
      <c r="K140">
        <v>577.26</v>
      </c>
      <c r="L140">
        <v>-6.77</v>
      </c>
      <c r="M140" t="s">
        <v>15</v>
      </c>
      <c r="N140">
        <v>-1.01</v>
      </c>
      <c r="O140">
        <v>-1.1599999999999999E-2</v>
      </c>
      <c r="P140" s="2" t="str">
        <f t="shared" si="0"/>
        <v>45961CAT</v>
      </c>
    </row>
    <row r="141" spans="1:16" x14ac:dyDescent="0.35">
      <c r="A141" s="1">
        <v>45962</v>
      </c>
      <c r="B141" s="4">
        <v>45962</v>
      </c>
      <c r="C141" t="s">
        <v>29</v>
      </c>
      <c r="D141" t="s">
        <v>29</v>
      </c>
      <c r="F141" s="2" t="str">
        <f>VLOOKUP(P141,'llm reader copy paste from py'!$E:$F,2,0)</f>
        <v>bearish</v>
      </c>
      <c r="H141">
        <v>250.1</v>
      </c>
      <c r="I141">
        <v>250.5</v>
      </c>
      <c r="J141">
        <v>243.98</v>
      </c>
      <c r="K141">
        <v>244.22</v>
      </c>
      <c r="L141">
        <v>-5.88</v>
      </c>
      <c r="M141" t="s">
        <v>15</v>
      </c>
      <c r="N141">
        <v>9.58</v>
      </c>
      <c r="O141">
        <v>-2.35E-2</v>
      </c>
      <c r="P141" s="2" t="str">
        <f t="shared" si="0"/>
        <v>45962AMZN</v>
      </c>
    </row>
    <row r="142" spans="1:16" x14ac:dyDescent="0.35">
      <c r="A142" s="1">
        <v>45962</v>
      </c>
      <c r="B142" s="4">
        <v>45962</v>
      </c>
      <c r="C142" t="s">
        <v>39</v>
      </c>
      <c r="D142" t="s">
        <v>39</v>
      </c>
      <c r="F142" s="2" t="str">
        <f>VLOOKUP(P142,'llm reader copy paste from py'!$E:$F,2,0)</f>
        <v>bearish</v>
      </c>
      <c r="H142">
        <v>206.38</v>
      </c>
      <c r="I142">
        <v>212.22</v>
      </c>
      <c r="J142">
        <v>205.2</v>
      </c>
      <c r="K142">
        <v>209.12</v>
      </c>
      <c r="L142">
        <v>2.74</v>
      </c>
      <c r="M142" t="s">
        <v>15</v>
      </c>
      <c r="N142">
        <v>1.33</v>
      </c>
      <c r="O142">
        <v>1.3299999999999999E-2</v>
      </c>
      <c r="P142" s="2" t="str">
        <f t="shared" si="0"/>
        <v>45962NXPI</v>
      </c>
    </row>
    <row r="143" spans="1:16" x14ac:dyDescent="0.35">
      <c r="A143" s="1">
        <v>45962</v>
      </c>
      <c r="B143" s="4">
        <v>45962</v>
      </c>
      <c r="C143" t="s">
        <v>37</v>
      </c>
      <c r="D143" t="s">
        <v>37</v>
      </c>
      <c r="F143" s="2" t="str">
        <f>VLOOKUP(P143,'llm reader copy paste from py'!$E:$F,2,0)</f>
        <v>bullish</v>
      </c>
      <c r="H143">
        <v>118.6</v>
      </c>
      <c r="I143">
        <v>119.85</v>
      </c>
      <c r="J143">
        <v>111.2</v>
      </c>
      <c r="K143">
        <v>113.72</v>
      </c>
      <c r="L143">
        <v>-4.88</v>
      </c>
      <c r="M143" t="s">
        <v>15</v>
      </c>
      <c r="N143">
        <v>0.64</v>
      </c>
      <c r="O143">
        <v>-4.1099999999999998E-2</v>
      </c>
      <c r="P143" s="2" t="str">
        <f t="shared" si="0"/>
        <v>45962RBLX</v>
      </c>
    </row>
    <row r="144" spans="1:16" x14ac:dyDescent="0.35">
      <c r="A144" s="1">
        <v>45962</v>
      </c>
      <c r="B144" s="4">
        <v>45962</v>
      </c>
      <c r="C144" t="s">
        <v>13</v>
      </c>
      <c r="D144" t="s">
        <v>13</v>
      </c>
      <c r="F144" s="2" t="str">
        <f>VLOOKUP(P144,'llm reader copy paste from py'!$E:$F,2,0)</f>
        <v>bullish</v>
      </c>
      <c r="H144">
        <v>527.89</v>
      </c>
      <c r="I144">
        <v>528.33000000000004</v>
      </c>
      <c r="J144">
        <v>514.14</v>
      </c>
      <c r="K144">
        <v>516.84</v>
      </c>
      <c r="L144">
        <v>-11.05</v>
      </c>
      <c r="M144" t="s">
        <v>15</v>
      </c>
      <c r="N144">
        <v>-1.51</v>
      </c>
      <c r="O144">
        <v>-2.0899999999999998E-2</v>
      </c>
      <c r="P144" s="2" t="str">
        <f t="shared" si="0"/>
        <v>45962MSFT</v>
      </c>
    </row>
    <row r="145" spans="1:16" x14ac:dyDescent="0.35">
      <c r="A145" s="1">
        <v>45962</v>
      </c>
      <c r="B145" s="4">
        <v>45962</v>
      </c>
      <c r="C145" t="s">
        <v>36</v>
      </c>
      <c r="D145" t="s">
        <v>36</v>
      </c>
      <c r="F145" s="2" t="str">
        <f>VLOOKUP(P145,'llm reader copy paste from py'!$E:$F,2,0)</f>
        <v>bearish</v>
      </c>
      <c r="H145">
        <v>110.54</v>
      </c>
      <c r="I145">
        <v>113.49</v>
      </c>
      <c r="J145">
        <v>110.2</v>
      </c>
      <c r="K145">
        <v>111.89</v>
      </c>
      <c r="L145">
        <v>1.35</v>
      </c>
      <c r="M145" t="s">
        <v>15</v>
      </c>
      <c r="N145">
        <v>2.74</v>
      </c>
      <c r="O145">
        <v>1.2200000000000001E-2</v>
      </c>
      <c r="P145" s="2" t="str">
        <f t="shared" si="0"/>
        <v>45962NFLX</v>
      </c>
    </row>
    <row r="146" spans="1:16" x14ac:dyDescent="0.35">
      <c r="A146" s="1">
        <v>45962</v>
      </c>
      <c r="B146" s="4">
        <v>45962</v>
      </c>
      <c r="C146" t="s">
        <v>29</v>
      </c>
      <c r="D146" t="s">
        <v>29</v>
      </c>
      <c r="F146" s="2" t="str">
        <f>VLOOKUP(P146,'llm reader copy paste from py'!$E:$F,2,0)</f>
        <v>bearish</v>
      </c>
      <c r="H146">
        <v>250.1</v>
      </c>
      <c r="I146">
        <v>250.5</v>
      </c>
      <c r="J146">
        <v>243.98</v>
      </c>
      <c r="K146">
        <v>244.22</v>
      </c>
      <c r="L146">
        <v>-5.88</v>
      </c>
      <c r="M146" t="s">
        <v>15</v>
      </c>
      <c r="N146">
        <v>9.58</v>
      </c>
      <c r="O146">
        <v>-2.35E-2</v>
      </c>
      <c r="P146" s="2" t="str">
        <f t="shared" si="0"/>
        <v>45962AMZN</v>
      </c>
    </row>
    <row r="147" spans="1:16" x14ac:dyDescent="0.35">
      <c r="A147" s="1">
        <v>45962</v>
      </c>
      <c r="B147" s="4">
        <v>45962</v>
      </c>
      <c r="C147" t="s">
        <v>39</v>
      </c>
      <c r="D147" t="s">
        <v>39</v>
      </c>
      <c r="F147" s="2" t="str">
        <f>VLOOKUP(P147,'llm reader copy paste from py'!$E:$F,2,0)</f>
        <v>bearish</v>
      </c>
      <c r="H147">
        <v>206.38</v>
      </c>
      <c r="I147">
        <v>212.22</v>
      </c>
      <c r="J147">
        <v>205.2</v>
      </c>
      <c r="K147">
        <v>209.12</v>
      </c>
      <c r="L147">
        <v>2.74</v>
      </c>
      <c r="M147" t="s">
        <v>15</v>
      </c>
      <c r="N147">
        <v>1.33</v>
      </c>
      <c r="O147">
        <v>1.3299999999999999E-2</v>
      </c>
      <c r="P147" s="2" t="str">
        <f t="shared" si="0"/>
        <v>45962NXPI</v>
      </c>
    </row>
    <row r="148" spans="1:16" x14ac:dyDescent="0.35">
      <c r="A148" s="1">
        <v>45962</v>
      </c>
      <c r="B148" s="4">
        <v>45962</v>
      </c>
      <c r="C148" t="s">
        <v>37</v>
      </c>
      <c r="D148" t="s">
        <v>37</v>
      </c>
      <c r="F148" s="2" t="str">
        <f>VLOOKUP(P148,'llm reader copy paste from py'!$E:$F,2,0)</f>
        <v>bullish</v>
      </c>
      <c r="H148">
        <v>118.6</v>
      </c>
      <c r="I148">
        <v>119.85</v>
      </c>
      <c r="J148">
        <v>111.2</v>
      </c>
      <c r="K148">
        <v>113.72</v>
      </c>
      <c r="L148">
        <v>-4.88</v>
      </c>
      <c r="M148" t="s">
        <v>15</v>
      </c>
      <c r="N148">
        <v>0.64</v>
      </c>
      <c r="O148">
        <v>-4.1099999999999998E-2</v>
      </c>
      <c r="P148" s="2" t="str">
        <f t="shared" si="0"/>
        <v>45962RBLX</v>
      </c>
    </row>
    <row r="149" spans="1:16" x14ac:dyDescent="0.35">
      <c r="A149" s="1">
        <v>45962</v>
      </c>
      <c r="B149" s="4">
        <v>45962</v>
      </c>
      <c r="C149" t="s">
        <v>13</v>
      </c>
      <c r="D149" t="s">
        <v>13</v>
      </c>
      <c r="F149" s="2" t="str">
        <f>VLOOKUP(P149,'llm reader copy paste from py'!$E:$F,2,0)</f>
        <v>bullish</v>
      </c>
      <c r="H149">
        <v>527.89</v>
      </c>
      <c r="I149">
        <v>528.33000000000004</v>
      </c>
      <c r="J149">
        <v>514.14</v>
      </c>
      <c r="K149">
        <v>516.84</v>
      </c>
      <c r="L149">
        <v>-11.05</v>
      </c>
      <c r="M149" t="s">
        <v>15</v>
      </c>
      <c r="N149">
        <v>-1.51</v>
      </c>
      <c r="O149">
        <v>-2.0899999999999998E-2</v>
      </c>
      <c r="P149" s="2" t="str">
        <f t="shared" si="0"/>
        <v>45962MSFT</v>
      </c>
    </row>
    <row r="150" spans="1:16" x14ac:dyDescent="0.35">
      <c r="A150" s="1">
        <v>45962</v>
      </c>
      <c r="B150" s="4">
        <v>45962</v>
      </c>
      <c r="C150" t="s">
        <v>36</v>
      </c>
      <c r="D150" t="s">
        <v>36</v>
      </c>
      <c r="F150" s="2" t="str">
        <f>VLOOKUP(P150,'llm reader copy paste from py'!$E:$F,2,0)</f>
        <v>bearish</v>
      </c>
      <c r="H150">
        <v>110.54</v>
      </c>
      <c r="I150">
        <v>113.49</v>
      </c>
      <c r="J150">
        <v>110.2</v>
      </c>
      <c r="K150">
        <v>111.89</v>
      </c>
      <c r="L150">
        <v>1.35</v>
      </c>
      <c r="M150" t="s">
        <v>15</v>
      </c>
      <c r="N150">
        <v>2.74</v>
      </c>
      <c r="O150">
        <v>1.2200000000000001E-2</v>
      </c>
      <c r="P150" s="2" t="str">
        <f t="shared" si="0"/>
        <v>45962NFLX</v>
      </c>
    </row>
    <row r="151" spans="1:16" x14ac:dyDescent="0.35">
      <c r="A151" s="1">
        <v>45962</v>
      </c>
      <c r="B151" s="4">
        <v>45962</v>
      </c>
      <c r="C151" t="s">
        <v>29</v>
      </c>
      <c r="D151" t="s">
        <v>29</v>
      </c>
      <c r="F151" s="2" t="str">
        <f>VLOOKUP(P151,'llm reader copy paste from py'!$E:$F,2,0)</f>
        <v>bearish</v>
      </c>
      <c r="H151">
        <v>250.1</v>
      </c>
      <c r="I151">
        <v>250.5</v>
      </c>
      <c r="J151">
        <v>243.98</v>
      </c>
      <c r="K151">
        <v>244.22</v>
      </c>
      <c r="L151">
        <v>-5.88</v>
      </c>
      <c r="M151" t="s">
        <v>15</v>
      </c>
      <c r="N151">
        <v>9.58</v>
      </c>
      <c r="O151">
        <v>-2.35E-2</v>
      </c>
      <c r="P151" s="2" t="str">
        <f t="shared" si="0"/>
        <v>45962AMZN</v>
      </c>
    </row>
    <row r="152" spans="1:16" x14ac:dyDescent="0.35">
      <c r="A152" s="1">
        <v>45962</v>
      </c>
      <c r="B152" s="4">
        <v>45962</v>
      </c>
      <c r="C152" t="s">
        <v>27</v>
      </c>
      <c r="D152" t="s">
        <v>27</v>
      </c>
      <c r="F152" s="2" t="str">
        <f>VLOOKUP(P152,'llm reader copy paste from py'!$E:$F,2,0)</f>
        <v>bullish</v>
      </c>
      <c r="H152">
        <v>206.45</v>
      </c>
      <c r="I152">
        <v>207.97</v>
      </c>
      <c r="J152">
        <v>202.07</v>
      </c>
      <c r="K152">
        <v>202.49</v>
      </c>
      <c r="L152">
        <v>-3.96</v>
      </c>
      <c r="M152" t="s">
        <v>15</v>
      </c>
      <c r="N152">
        <v>-0.2</v>
      </c>
      <c r="O152">
        <v>-1.9199999999999998E-2</v>
      </c>
      <c r="P152" s="2" t="str">
        <f t="shared" si="0"/>
        <v>45962NVDA</v>
      </c>
    </row>
    <row r="153" spans="1:16" x14ac:dyDescent="0.35">
      <c r="A153" s="1">
        <v>45962</v>
      </c>
      <c r="B153" s="4">
        <v>45962</v>
      </c>
      <c r="C153" t="s">
        <v>40</v>
      </c>
      <c r="D153" t="s">
        <v>40</v>
      </c>
      <c r="F153" s="2" t="str">
        <f>VLOOKUP(P153,'llm reader copy paste from py'!$E:$F,2,0)</f>
        <v>bullish</v>
      </c>
      <c r="H153">
        <v>162.55000000000001</v>
      </c>
      <c r="I153">
        <v>164.06</v>
      </c>
      <c r="J153">
        <v>156.6</v>
      </c>
      <c r="K153">
        <v>157.46</v>
      </c>
      <c r="L153">
        <v>-5.09</v>
      </c>
      <c r="M153" t="s">
        <v>15</v>
      </c>
      <c r="N153">
        <v>-2.2000000000000002</v>
      </c>
      <c r="O153">
        <v>-3.1300000000000001E-2</v>
      </c>
      <c r="P153" s="2" t="str">
        <f t="shared" si="0"/>
        <v>45962LRCX</v>
      </c>
    </row>
    <row r="154" spans="1:16" x14ac:dyDescent="0.35">
      <c r="A154" s="1">
        <v>45962</v>
      </c>
      <c r="B154" s="4">
        <v>45962</v>
      </c>
      <c r="C154" t="s">
        <v>36</v>
      </c>
      <c r="D154" t="s">
        <v>36</v>
      </c>
      <c r="F154" s="2" t="str">
        <f>VLOOKUP(P154,'llm reader copy paste from py'!$E:$F,2,0)</f>
        <v>bearish</v>
      </c>
      <c r="H154">
        <v>110.54</v>
      </c>
      <c r="I154">
        <v>113.49</v>
      </c>
      <c r="J154">
        <v>110.2</v>
      </c>
      <c r="K154">
        <v>111.89</v>
      </c>
      <c r="L154">
        <v>1.35</v>
      </c>
      <c r="M154" t="s">
        <v>15</v>
      </c>
      <c r="N154">
        <v>2.74</v>
      </c>
      <c r="O154">
        <v>1.2200000000000001E-2</v>
      </c>
      <c r="P154" s="2" t="str">
        <f t="shared" si="0"/>
        <v>45962NFLX</v>
      </c>
    </row>
    <row r="155" spans="1:16" x14ac:dyDescent="0.35">
      <c r="A155" s="1">
        <v>45962</v>
      </c>
      <c r="B155" s="4">
        <v>45962</v>
      </c>
      <c r="C155" t="s">
        <v>38</v>
      </c>
      <c r="D155" t="s">
        <v>38</v>
      </c>
      <c r="F155" s="2" t="str">
        <f>VLOOKUP(P155,'llm reader copy paste from py'!$E:$F,2,0)</f>
        <v>neutral</v>
      </c>
      <c r="H155">
        <v>97.13</v>
      </c>
      <c r="I155">
        <v>98</v>
      </c>
      <c r="J155">
        <v>94.62</v>
      </c>
      <c r="K155">
        <v>96.69</v>
      </c>
      <c r="L155">
        <v>-0.44</v>
      </c>
      <c r="M155" t="s">
        <v>15</v>
      </c>
      <c r="N155">
        <v>-0.94</v>
      </c>
      <c r="O155">
        <v>-4.4999999999999997E-3</v>
      </c>
      <c r="P155" s="2" t="str">
        <f t="shared" si="0"/>
        <v>45962EL</v>
      </c>
    </row>
    <row r="156" spans="1:16" x14ac:dyDescent="0.35">
      <c r="A156" s="1">
        <v>45963</v>
      </c>
      <c r="B156" s="4">
        <v>45963</v>
      </c>
      <c r="C156" t="s">
        <v>27</v>
      </c>
      <c r="D156" t="s">
        <v>27</v>
      </c>
      <c r="F156" s="2" t="str">
        <f>VLOOKUP(P156,'llm reader copy paste from py'!$E:$F,2,0)</f>
        <v>bullish</v>
      </c>
      <c r="H156">
        <v>206.45</v>
      </c>
      <c r="I156">
        <v>207.97</v>
      </c>
      <c r="J156">
        <v>202.07</v>
      </c>
      <c r="K156">
        <v>202.49</v>
      </c>
      <c r="L156">
        <v>-3.96</v>
      </c>
      <c r="M156" t="s">
        <v>15</v>
      </c>
      <c r="N156">
        <v>-0.2</v>
      </c>
      <c r="O156">
        <v>-1.9199999999999998E-2</v>
      </c>
      <c r="P156" s="2" t="str">
        <f t="shared" si="0"/>
        <v>45963NVDA</v>
      </c>
    </row>
    <row r="157" spans="1:16" x14ac:dyDescent="0.35">
      <c r="A157" s="1">
        <v>45963</v>
      </c>
      <c r="B157" s="4">
        <v>45963</v>
      </c>
      <c r="C157" t="s">
        <v>29</v>
      </c>
      <c r="D157" t="s">
        <v>29</v>
      </c>
      <c r="F157" s="2" t="str">
        <f>VLOOKUP(P157,'llm reader copy paste from py'!$E:$F,2,0)</f>
        <v>bullish</v>
      </c>
      <c r="H157">
        <v>250.1</v>
      </c>
      <c r="I157">
        <v>250.5</v>
      </c>
      <c r="J157">
        <v>243.98</v>
      </c>
      <c r="K157">
        <v>244.22</v>
      </c>
      <c r="L157">
        <v>-5.88</v>
      </c>
      <c r="M157" t="s">
        <v>15</v>
      </c>
      <c r="N157">
        <v>9.58</v>
      </c>
      <c r="O157">
        <v>-2.35E-2</v>
      </c>
      <c r="P157" s="2" t="str">
        <f t="shared" si="0"/>
        <v>45963AMZN</v>
      </c>
    </row>
    <row r="158" spans="1:16" x14ac:dyDescent="0.35">
      <c r="A158" s="1">
        <v>45963</v>
      </c>
      <c r="B158" s="4">
        <v>45963</v>
      </c>
      <c r="C158" t="s">
        <v>41</v>
      </c>
      <c r="D158" t="s">
        <v>41</v>
      </c>
      <c r="F158" s="2" t="str">
        <f>VLOOKUP(P158,'llm reader copy paste from py'!$E:$F,2,0)</f>
        <v>bearish</v>
      </c>
      <c r="H158">
        <v>674.51</v>
      </c>
      <c r="I158">
        <v>674.89</v>
      </c>
      <c r="J158">
        <v>645.57000000000005</v>
      </c>
      <c r="K158">
        <v>648.35</v>
      </c>
      <c r="L158">
        <v>-26.16</v>
      </c>
      <c r="M158" t="s">
        <v>15</v>
      </c>
      <c r="N158">
        <v>-2.72</v>
      </c>
      <c r="O158">
        <v>-3.8800000000000001E-2</v>
      </c>
      <c r="P158" s="2" t="str">
        <f t="shared" si="0"/>
        <v>45963META</v>
      </c>
    </row>
    <row r="159" spans="1:16" x14ac:dyDescent="0.35">
      <c r="A159" s="1">
        <v>45963</v>
      </c>
      <c r="B159" s="4">
        <v>45963</v>
      </c>
      <c r="C159" t="s">
        <v>28</v>
      </c>
      <c r="D159" t="s">
        <v>28</v>
      </c>
      <c r="F159" s="2" t="str">
        <f>VLOOKUP(P159,'llm reader copy paste from py'!$E:$F,2,0)</f>
        <v>bullish</v>
      </c>
      <c r="H159">
        <v>276.72000000000003</v>
      </c>
      <c r="I159">
        <v>277.05</v>
      </c>
      <c r="J159">
        <v>268.89999999999998</v>
      </c>
      <c r="K159">
        <v>270.11</v>
      </c>
      <c r="L159">
        <v>-6.61</v>
      </c>
      <c r="M159" t="s">
        <v>15</v>
      </c>
      <c r="N159">
        <v>-0.38</v>
      </c>
      <c r="O159">
        <v>-2.3900000000000001E-2</v>
      </c>
      <c r="P159" s="2" t="str">
        <f t="shared" si="0"/>
        <v>45963AAPL</v>
      </c>
    </row>
    <row r="160" spans="1:16" x14ac:dyDescent="0.35">
      <c r="A160" s="1">
        <v>45963</v>
      </c>
      <c r="B160" s="4">
        <v>45963</v>
      </c>
      <c r="C160" t="s">
        <v>42</v>
      </c>
      <c r="D160" t="s">
        <v>42</v>
      </c>
      <c r="F160" s="2" t="str">
        <f>VLOOKUP(P160,'llm reader copy paste from py'!$E:$F,2,0)</f>
        <v>bullish</v>
      </c>
      <c r="H160">
        <v>178.52</v>
      </c>
      <c r="I160">
        <v>182.15</v>
      </c>
      <c r="J160">
        <v>176.83</v>
      </c>
      <c r="K160">
        <v>180.9</v>
      </c>
      <c r="L160">
        <v>2.38</v>
      </c>
      <c r="M160" t="s">
        <v>15</v>
      </c>
      <c r="N160">
        <v>2.0499999999999998</v>
      </c>
      <c r="O160">
        <v>1.3299999999999999E-2</v>
      </c>
      <c r="P160" s="2" t="str">
        <f t="shared" si="0"/>
        <v>45963QCOM</v>
      </c>
    </row>
    <row r="161" spans="1:16" x14ac:dyDescent="0.35">
      <c r="A161" s="1">
        <v>45963</v>
      </c>
      <c r="B161" s="4">
        <v>45963</v>
      </c>
      <c r="C161" t="s">
        <v>27</v>
      </c>
      <c r="D161" t="s">
        <v>27</v>
      </c>
      <c r="F161" s="2" t="str">
        <f>VLOOKUP(P161,'llm reader copy paste from py'!$E:$F,2,0)</f>
        <v>bullish</v>
      </c>
      <c r="H161">
        <v>206.45</v>
      </c>
      <c r="I161">
        <v>207.97</v>
      </c>
      <c r="J161">
        <v>202.07</v>
      </c>
      <c r="K161">
        <v>202.49</v>
      </c>
      <c r="L161">
        <v>-3.96</v>
      </c>
      <c r="M161" t="s">
        <v>15</v>
      </c>
      <c r="N161">
        <v>-0.2</v>
      </c>
      <c r="O161">
        <v>-1.9199999999999998E-2</v>
      </c>
      <c r="P161" s="2" t="str">
        <f t="shared" si="0"/>
        <v>45963NVDA</v>
      </c>
    </row>
    <row r="162" spans="1:16" x14ac:dyDescent="0.35">
      <c r="A162" s="1">
        <v>45963</v>
      </c>
      <c r="B162" s="4">
        <v>45963</v>
      </c>
      <c r="C162" t="s">
        <v>29</v>
      </c>
      <c r="D162" t="s">
        <v>29</v>
      </c>
      <c r="F162" s="2" t="str">
        <f>VLOOKUP(P162,'llm reader copy paste from py'!$E:$F,2,0)</f>
        <v>bullish</v>
      </c>
      <c r="H162">
        <v>250.1</v>
      </c>
      <c r="I162">
        <v>250.5</v>
      </c>
      <c r="J162">
        <v>243.98</v>
      </c>
      <c r="K162">
        <v>244.22</v>
      </c>
      <c r="L162">
        <v>-5.88</v>
      </c>
      <c r="M162" t="s">
        <v>15</v>
      </c>
      <c r="N162">
        <v>9.58</v>
      </c>
      <c r="O162">
        <v>-2.35E-2</v>
      </c>
      <c r="P162" s="2" t="str">
        <f t="shared" si="0"/>
        <v>45963AMZN</v>
      </c>
    </row>
    <row r="163" spans="1:16" x14ac:dyDescent="0.35">
      <c r="A163" s="1">
        <v>45963</v>
      </c>
      <c r="B163" s="4">
        <v>45963</v>
      </c>
      <c r="C163" t="s">
        <v>41</v>
      </c>
      <c r="D163" t="s">
        <v>41</v>
      </c>
      <c r="F163" s="2" t="str">
        <f>VLOOKUP(P163,'llm reader copy paste from py'!$E:$F,2,0)</f>
        <v>bearish</v>
      </c>
      <c r="H163">
        <v>674.51</v>
      </c>
      <c r="I163">
        <v>674.89</v>
      </c>
      <c r="J163">
        <v>645.57000000000005</v>
      </c>
      <c r="K163">
        <v>648.35</v>
      </c>
      <c r="L163">
        <v>-26.16</v>
      </c>
      <c r="M163" t="s">
        <v>15</v>
      </c>
      <c r="N163">
        <v>-2.72</v>
      </c>
      <c r="O163">
        <v>-3.8800000000000001E-2</v>
      </c>
      <c r="P163" s="2" t="str">
        <f t="shared" si="0"/>
        <v>45963META</v>
      </c>
    </row>
    <row r="164" spans="1:16" x14ac:dyDescent="0.35">
      <c r="A164" s="1">
        <v>45963</v>
      </c>
      <c r="B164" s="4">
        <v>45963</v>
      </c>
      <c r="C164" t="s">
        <v>28</v>
      </c>
      <c r="D164" t="s">
        <v>28</v>
      </c>
      <c r="F164" s="2" t="str">
        <f>VLOOKUP(P164,'llm reader copy paste from py'!$E:$F,2,0)</f>
        <v>bullish</v>
      </c>
      <c r="H164">
        <v>276.72000000000003</v>
      </c>
      <c r="I164">
        <v>277.05</v>
      </c>
      <c r="J164">
        <v>268.89999999999998</v>
      </c>
      <c r="K164">
        <v>270.11</v>
      </c>
      <c r="L164">
        <v>-6.61</v>
      </c>
      <c r="M164" t="s">
        <v>15</v>
      </c>
      <c r="N164">
        <v>-0.38</v>
      </c>
      <c r="O164">
        <v>-2.3900000000000001E-2</v>
      </c>
      <c r="P164" s="2" t="str">
        <f t="shared" si="0"/>
        <v>45963AAPL</v>
      </c>
    </row>
    <row r="165" spans="1:16" x14ac:dyDescent="0.35">
      <c r="A165" s="1">
        <v>45963</v>
      </c>
      <c r="B165" s="4">
        <v>45963</v>
      </c>
      <c r="C165" t="s">
        <v>42</v>
      </c>
      <c r="D165" t="s">
        <v>42</v>
      </c>
      <c r="F165" s="2" t="str">
        <f>VLOOKUP(P165,'llm reader copy paste from py'!$E:$F,2,0)</f>
        <v>bullish</v>
      </c>
      <c r="H165">
        <v>178.52</v>
      </c>
      <c r="I165">
        <v>182.15</v>
      </c>
      <c r="J165">
        <v>176.83</v>
      </c>
      <c r="K165">
        <v>180.9</v>
      </c>
      <c r="L165">
        <v>2.38</v>
      </c>
      <c r="M165" t="s">
        <v>15</v>
      </c>
      <c r="N165">
        <v>2.0499999999999998</v>
      </c>
      <c r="O165">
        <v>1.3299999999999999E-2</v>
      </c>
      <c r="P165" s="2" t="str">
        <f t="shared" si="0"/>
        <v>45963QCOM</v>
      </c>
    </row>
    <row r="166" spans="1:16" x14ac:dyDescent="0.35">
      <c r="A166" s="1">
        <v>45964</v>
      </c>
      <c r="B166" s="4">
        <v>45964</v>
      </c>
      <c r="C166" t="s">
        <v>27</v>
      </c>
      <c r="D166" t="s">
        <v>27</v>
      </c>
      <c r="F166" s="2" t="str">
        <f>VLOOKUP(P166,'llm reader copy paste from py'!$E:$F,2,0)</f>
        <v>bullish</v>
      </c>
      <c r="H166">
        <v>208.08</v>
      </c>
      <c r="I166">
        <v>211.34</v>
      </c>
      <c r="J166">
        <v>205.56</v>
      </c>
      <c r="K166">
        <v>206.88</v>
      </c>
      <c r="L166">
        <v>-1.2</v>
      </c>
      <c r="M166" t="s">
        <v>15</v>
      </c>
      <c r="N166">
        <v>2.17</v>
      </c>
      <c r="O166">
        <v>-5.7999999999999996E-3</v>
      </c>
      <c r="P166" s="2" t="str">
        <f t="shared" si="0"/>
        <v>45964NVDA</v>
      </c>
    </row>
    <row r="167" spans="1:16" x14ac:dyDescent="0.35">
      <c r="A167" s="1">
        <v>45964</v>
      </c>
      <c r="B167" s="4">
        <v>45964</v>
      </c>
      <c r="C167" t="s">
        <v>29</v>
      </c>
      <c r="D167" t="s">
        <v>29</v>
      </c>
      <c r="F167" s="2" t="str">
        <f>VLOOKUP(P167,'llm reader copy paste from py'!$E:$F,2,0)</f>
        <v>bullish</v>
      </c>
      <c r="H167">
        <v>255.36</v>
      </c>
      <c r="I167">
        <v>258.60000000000002</v>
      </c>
      <c r="J167">
        <v>252.9</v>
      </c>
      <c r="K167">
        <v>254</v>
      </c>
      <c r="L167">
        <v>-1.36</v>
      </c>
      <c r="M167" t="s">
        <v>15</v>
      </c>
      <c r="N167">
        <v>4</v>
      </c>
      <c r="O167">
        <v>-5.3E-3</v>
      </c>
      <c r="P167" s="2" t="str">
        <f t="shared" si="0"/>
        <v>45964AMZN</v>
      </c>
    </row>
    <row r="168" spans="1:16" x14ac:dyDescent="0.35">
      <c r="A168" s="1">
        <v>45964</v>
      </c>
      <c r="B168" s="4">
        <v>45964</v>
      </c>
      <c r="C168" t="s">
        <v>13</v>
      </c>
      <c r="D168" t="s">
        <v>13</v>
      </c>
      <c r="F168" s="2" t="str">
        <f>VLOOKUP(P168,'llm reader copy paste from py'!$E:$F,2,0)</f>
        <v>bullish</v>
      </c>
      <c r="H168">
        <v>518.84</v>
      </c>
      <c r="I168">
        <v>523.98</v>
      </c>
      <c r="J168">
        <v>513.63</v>
      </c>
      <c r="K168">
        <v>516.05999999999995</v>
      </c>
      <c r="L168">
        <v>-2.78</v>
      </c>
      <c r="M168" t="s">
        <v>15</v>
      </c>
      <c r="N168">
        <v>-0.15</v>
      </c>
      <c r="O168">
        <v>-5.4000000000000003E-3</v>
      </c>
      <c r="P168" s="2" t="str">
        <f t="shared" si="0"/>
        <v>45964MSFT</v>
      </c>
    </row>
    <row r="169" spans="1:16" x14ac:dyDescent="0.35">
      <c r="A169" s="1">
        <v>45964</v>
      </c>
      <c r="B169" s="4">
        <v>45964</v>
      </c>
      <c r="C169" t="s">
        <v>28</v>
      </c>
      <c r="D169" t="s">
        <v>28</v>
      </c>
      <c r="F169" s="2" t="str">
        <f>VLOOKUP(P169,'llm reader copy paste from py'!$E:$F,2,0)</f>
        <v>bearish</v>
      </c>
      <c r="H169">
        <v>270.16000000000003</v>
      </c>
      <c r="I169">
        <v>270.58999999999997</v>
      </c>
      <c r="J169">
        <v>265.99</v>
      </c>
      <c r="K169">
        <v>268.79000000000002</v>
      </c>
      <c r="L169">
        <v>-1.37</v>
      </c>
      <c r="M169" t="s">
        <v>15</v>
      </c>
      <c r="N169">
        <v>-0.49</v>
      </c>
      <c r="O169">
        <v>-5.1000000000000004E-3</v>
      </c>
      <c r="P169" s="2" t="str">
        <f t="shared" si="0"/>
        <v>45964AAPL</v>
      </c>
    </row>
    <row r="170" spans="1:16" x14ac:dyDescent="0.35">
      <c r="A170" s="1">
        <v>45964</v>
      </c>
      <c r="B170" s="4">
        <v>45964</v>
      </c>
      <c r="C170" t="s">
        <v>43</v>
      </c>
      <c r="D170" t="s">
        <v>43</v>
      </c>
      <c r="F170" s="2" t="str">
        <f>VLOOKUP(P170,'llm reader copy paste from py'!$E:$F,2,0)</f>
        <v>bullish</v>
      </c>
      <c r="H170">
        <v>282.42</v>
      </c>
      <c r="I170">
        <v>285.94</v>
      </c>
      <c r="J170">
        <v>280.37</v>
      </c>
      <c r="K170">
        <v>284.12</v>
      </c>
      <c r="L170">
        <v>1.7</v>
      </c>
      <c r="M170" t="s">
        <v>15</v>
      </c>
      <c r="N170">
        <v>0.82</v>
      </c>
      <c r="O170">
        <v>6.0000000000000001E-3</v>
      </c>
      <c r="P170" s="2" t="str">
        <f t="shared" si="0"/>
        <v>45964GOOG</v>
      </c>
    </row>
    <row r="171" spans="1:16" x14ac:dyDescent="0.35">
      <c r="A171" s="1">
        <v>45965</v>
      </c>
      <c r="B171" s="4">
        <v>45965</v>
      </c>
      <c r="C171" t="s">
        <v>20</v>
      </c>
      <c r="D171" t="s">
        <v>20</v>
      </c>
      <c r="F171" s="2" t="str">
        <f>VLOOKUP(P171,'llm reader copy paste from py'!$E:$F,2,0)</f>
        <v>bullish</v>
      </c>
      <c r="H171">
        <v>250.35</v>
      </c>
      <c r="I171">
        <v>257.38</v>
      </c>
      <c r="J171">
        <v>247.39</v>
      </c>
      <c r="K171">
        <v>250.05</v>
      </c>
      <c r="L171">
        <v>-0.3</v>
      </c>
      <c r="M171" t="s">
        <v>15</v>
      </c>
      <c r="N171">
        <v>-3.7</v>
      </c>
      <c r="O171">
        <v>-1.1999999999999999E-3</v>
      </c>
      <c r="P171" s="2" t="str">
        <f t="shared" si="0"/>
        <v>45965AMD</v>
      </c>
    </row>
    <row r="172" spans="1:16" x14ac:dyDescent="0.35">
      <c r="A172" s="1">
        <v>45965</v>
      </c>
      <c r="B172" s="4">
        <v>45965</v>
      </c>
      <c r="C172" t="s">
        <v>27</v>
      </c>
      <c r="D172" t="s">
        <v>27</v>
      </c>
      <c r="F172" s="2" t="str">
        <f>VLOOKUP(P172,'llm reader copy paste from py'!$E:$F,2,0)</f>
        <v>bullish</v>
      </c>
      <c r="H172">
        <v>203</v>
      </c>
      <c r="I172">
        <v>203.97</v>
      </c>
      <c r="J172">
        <v>197.93</v>
      </c>
      <c r="K172">
        <v>198.69</v>
      </c>
      <c r="L172">
        <v>-4.3099999999999996</v>
      </c>
      <c r="M172" t="s">
        <v>15</v>
      </c>
      <c r="N172">
        <v>-3.96</v>
      </c>
      <c r="O172">
        <v>-2.12E-2</v>
      </c>
      <c r="P172" s="2" t="str">
        <f t="shared" si="0"/>
        <v>45965NVDA</v>
      </c>
    </row>
    <row r="173" spans="1:16" x14ac:dyDescent="0.35">
      <c r="A173" s="1">
        <v>45965</v>
      </c>
      <c r="B173" s="4">
        <v>45965</v>
      </c>
      <c r="C173" t="s">
        <v>29</v>
      </c>
      <c r="D173" t="s">
        <v>29</v>
      </c>
      <c r="F173" s="2" t="str">
        <f>VLOOKUP(P173,'llm reader copy paste from py'!$E:$F,2,0)</f>
        <v>bearish</v>
      </c>
      <c r="H173">
        <v>250.38</v>
      </c>
      <c r="I173">
        <v>257.01</v>
      </c>
      <c r="J173">
        <v>248.66</v>
      </c>
      <c r="K173">
        <v>249.32</v>
      </c>
      <c r="L173">
        <v>-1.06</v>
      </c>
      <c r="M173" t="s">
        <v>15</v>
      </c>
      <c r="N173">
        <v>-1.84</v>
      </c>
      <c r="O173">
        <v>-4.1999999999999997E-3</v>
      </c>
      <c r="P173" s="2" t="str">
        <f t="shared" si="0"/>
        <v>45965AMZN</v>
      </c>
    </row>
    <row r="174" spans="1:16" x14ac:dyDescent="0.35">
      <c r="A174" s="1">
        <v>45965</v>
      </c>
      <c r="B174" s="4">
        <v>45965</v>
      </c>
      <c r="C174" t="s">
        <v>44</v>
      </c>
      <c r="D174" t="s">
        <v>44</v>
      </c>
      <c r="F174" s="2" t="str">
        <f>VLOOKUP(P174,'llm reader copy paste from py'!$E:$F,2,0)</f>
        <v>bearish</v>
      </c>
      <c r="H174">
        <v>7.07</v>
      </c>
      <c r="I174">
        <v>7.15</v>
      </c>
      <c r="J174">
        <v>6.95</v>
      </c>
      <c r="K174">
        <v>7.07</v>
      </c>
      <c r="L174">
        <v>0</v>
      </c>
      <c r="M174" t="s">
        <v>15</v>
      </c>
      <c r="N174">
        <v>-2.75</v>
      </c>
      <c r="O174">
        <v>0</v>
      </c>
      <c r="P174" s="2" t="str">
        <f t="shared" si="0"/>
        <v>45965PTON</v>
      </c>
    </row>
    <row r="175" spans="1:16" x14ac:dyDescent="0.35">
      <c r="A175" s="1">
        <v>45965</v>
      </c>
      <c r="B175" s="4">
        <v>45965</v>
      </c>
      <c r="C175" t="s">
        <v>45</v>
      </c>
      <c r="D175" t="s">
        <v>45</v>
      </c>
      <c r="F175" s="2" t="str">
        <f>VLOOKUP(P175,'llm reader copy paste from py'!$E:$F,2,0)</f>
        <v>bearish</v>
      </c>
      <c r="H175">
        <v>625.17999999999995</v>
      </c>
      <c r="I175">
        <v>650.58000000000004</v>
      </c>
      <c r="J175">
        <v>603.15</v>
      </c>
      <c r="K175">
        <v>629.6</v>
      </c>
      <c r="L175">
        <v>4.42</v>
      </c>
      <c r="M175" t="s">
        <v>15</v>
      </c>
      <c r="N175">
        <v>-2.25</v>
      </c>
      <c r="O175">
        <v>7.1000000000000004E-3</v>
      </c>
      <c r="P175" s="2" t="str">
        <f t="shared" si="0"/>
        <v>45965SPOT</v>
      </c>
    </row>
    <row r="176" spans="1:16" x14ac:dyDescent="0.35">
      <c r="A176" s="1">
        <v>45966</v>
      </c>
      <c r="B176" s="4">
        <v>45966</v>
      </c>
      <c r="C176" t="s">
        <v>46</v>
      </c>
      <c r="D176" t="s">
        <v>46</v>
      </c>
      <c r="F176" s="2" t="str">
        <f>VLOOKUP(P176,'llm reader copy paste from py'!$E:$F,2,0)</f>
        <v>bearish</v>
      </c>
      <c r="H176">
        <v>42.79</v>
      </c>
      <c r="I176">
        <v>44.1</v>
      </c>
      <c r="J176">
        <v>40.75</v>
      </c>
      <c r="K176">
        <v>40.799999999999997</v>
      </c>
      <c r="L176">
        <v>-1.99</v>
      </c>
      <c r="M176" t="s">
        <v>15</v>
      </c>
      <c r="N176">
        <v>-5.08</v>
      </c>
      <c r="O176">
        <v>-4.65E-2</v>
      </c>
      <c r="P176" s="2" t="str">
        <f t="shared" si="0"/>
        <v>45966PZZA</v>
      </c>
    </row>
    <row r="177" spans="1:16" x14ac:dyDescent="0.35">
      <c r="A177" s="1">
        <v>45966</v>
      </c>
      <c r="B177" s="4">
        <v>45966</v>
      </c>
      <c r="C177" t="s">
        <v>47</v>
      </c>
      <c r="D177" t="s">
        <v>47</v>
      </c>
      <c r="F177" s="2" t="str">
        <f>VLOOKUP(P177,'llm reader copy paste from py'!$E:$F,2,0)</f>
        <v>bearish</v>
      </c>
      <c r="H177">
        <v>13.34</v>
      </c>
      <c r="I177">
        <v>15.85</v>
      </c>
      <c r="J177">
        <v>13.26</v>
      </c>
      <c r="K177">
        <v>15.42</v>
      </c>
      <c r="L177">
        <v>2.08</v>
      </c>
      <c r="M177" t="s">
        <v>15</v>
      </c>
      <c r="N177">
        <v>23.36</v>
      </c>
      <c r="O177">
        <v>0.15590000000000001</v>
      </c>
      <c r="P177" s="2" t="str">
        <f t="shared" si="0"/>
        <v>45966RIVN</v>
      </c>
    </row>
    <row r="178" spans="1:16" x14ac:dyDescent="0.35">
      <c r="A178" s="1">
        <v>45966</v>
      </c>
      <c r="B178" s="4">
        <v>45966</v>
      </c>
      <c r="C178" t="s">
        <v>29</v>
      </c>
      <c r="D178" t="s">
        <v>29</v>
      </c>
      <c r="F178" s="2" t="str">
        <f>VLOOKUP(P178,'llm reader copy paste from py'!$E:$F,2,0)</f>
        <v>bearish</v>
      </c>
      <c r="H178">
        <v>249.03</v>
      </c>
      <c r="I178">
        <v>251</v>
      </c>
      <c r="J178">
        <v>246.16</v>
      </c>
      <c r="K178">
        <v>250.2</v>
      </c>
      <c r="L178">
        <v>1.17</v>
      </c>
      <c r="M178" t="s">
        <v>15</v>
      </c>
      <c r="N178">
        <v>0.35</v>
      </c>
      <c r="O178">
        <v>4.7000000000000002E-3</v>
      </c>
      <c r="P178" s="2" t="str">
        <f t="shared" si="0"/>
        <v>45966AMZN</v>
      </c>
    </row>
    <row r="179" spans="1:16" x14ac:dyDescent="0.35">
      <c r="A179" s="1">
        <v>45966</v>
      </c>
      <c r="B179" s="4">
        <v>45966</v>
      </c>
      <c r="C179" t="s">
        <v>27</v>
      </c>
      <c r="D179" t="s">
        <v>27</v>
      </c>
      <c r="F179" s="2" t="str">
        <f>VLOOKUP(P179,'llm reader copy paste from py'!$E:$F,2,0)</f>
        <v>bullish</v>
      </c>
      <c r="H179">
        <v>198.77</v>
      </c>
      <c r="I179">
        <v>202.92</v>
      </c>
      <c r="J179">
        <v>194.65</v>
      </c>
      <c r="K179">
        <v>195.21</v>
      </c>
      <c r="L179">
        <v>-3.56</v>
      </c>
      <c r="M179" t="s">
        <v>15</v>
      </c>
      <c r="N179">
        <v>-1.75</v>
      </c>
      <c r="O179">
        <v>-1.7899999999999999E-2</v>
      </c>
      <c r="P179" s="2" t="str">
        <f t="shared" si="0"/>
        <v>45966NVDA</v>
      </c>
    </row>
    <row r="180" spans="1:16" x14ac:dyDescent="0.35">
      <c r="A180" s="1">
        <v>45966</v>
      </c>
      <c r="B180" s="4">
        <v>45966</v>
      </c>
      <c r="C180" t="s">
        <v>20</v>
      </c>
      <c r="D180" t="s">
        <v>20</v>
      </c>
      <c r="F180" s="2" t="str">
        <f>VLOOKUP(P180,'llm reader copy paste from py'!$E:$F,2,0)</f>
        <v>bullish</v>
      </c>
      <c r="H180">
        <v>243.24</v>
      </c>
      <c r="I180">
        <v>259.64999999999998</v>
      </c>
      <c r="J180">
        <v>242.81</v>
      </c>
      <c r="K180">
        <v>256.33</v>
      </c>
      <c r="L180">
        <v>13.09</v>
      </c>
      <c r="M180" t="s">
        <v>15</v>
      </c>
      <c r="N180">
        <v>2.5099999999999998</v>
      </c>
      <c r="O180">
        <v>5.3800000000000001E-2</v>
      </c>
      <c r="P180" s="2" t="str">
        <f t="shared" si="0"/>
        <v>45966AMD</v>
      </c>
    </row>
    <row r="181" spans="1:16" x14ac:dyDescent="0.35">
      <c r="A181" s="1">
        <v>45967</v>
      </c>
      <c r="B181" s="4">
        <v>45967</v>
      </c>
      <c r="C181" t="s">
        <v>29</v>
      </c>
      <c r="D181" t="s">
        <v>29</v>
      </c>
      <c r="F181" s="2" t="str">
        <f>VLOOKUP(P181,'llm reader copy paste from py'!$E:$F,2,0)</f>
        <v>neutral</v>
      </c>
      <c r="H181">
        <v>249.16</v>
      </c>
      <c r="I181">
        <v>250.38</v>
      </c>
      <c r="J181">
        <v>242.17</v>
      </c>
      <c r="K181">
        <v>243.04</v>
      </c>
      <c r="L181">
        <v>-6.12</v>
      </c>
      <c r="M181" t="s">
        <v>15</v>
      </c>
      <c r="N181">
        <v>-2.86</v>
      </c>
      <c r="O181">
        <v>-2.46E-2</v>
      </c>
      <c r="P181" s="2" t="str">
        <f t="shared" si="0"/>
        <v>45967AMZN</v>
      </c>
    </row>
    <row r="182" spans="1:16" x14ac:dyDescent="0.35">
      <c r="A182" s="1">
        <v>45967</v>
      </c>
      <c r="B182" s="4">
        <v>45967</v>
      </c>
      <c r="C182" t="s">
        <v>48</v>
      </c>
      <c r="D182" t="s">
        <v>48</v>
      </c>
      <c r="F182" s="2" t="str">
        <f>VLOOKUP(P182,'llm reader copy paste from py'!$E:$F,2,0)</f>
        <v>bullish</v>
      </c>
      <c r="H182">
        <v>924.36</v>
      </c>
      <c r="I182">
        <v>925</v>
      </c>
      <c r="J182">
        <v>908.3</v>
      </c>
      <c r="K182">
        <v>923.58</v>
      </c>
      <c r="L182">
        <v>-0.78</v>
      </c>
      <c r="M182" t="s">
        <v>15</v>
      </c>
      <c r="N182">
        <v>-1.22</v>
      </c>
      <c r="O182">
        <v>-8.0000000000000004E-4</v>
      </c>
      <c r="P182" s="2" t="str">
        <f t="shared" si="0"/>
        <v>45967COST</v>
      </c>
    </row>
    <row r="183" spans="1:16" x14ac:dyDescent="0.35">
      <c r="A183" s="1">
        <v>45967</v>
      </c>
      <c r="B183" s="4">
        <v>45967</v>
      </c>
      <c r="C183" t="s">
        <v>37</v>
      </c>
      <c r="D183" t="s">
        <v>37</v>
      </c>
      <c r="F183" s="2" t="str">
        <f>VLOOKUP(P183,'llm reader copy paste from py'!$E:$F,2,0)</f>
        <v>bearish</v>
      </c>
      <c r="H183">
        <v>102</v>
      </c>
      <c r="I183">
        <v>103.98</v>
      </c>
      <c r="J183">
        <v>100.6</v>
      </c>
      <c r="K183">
        <v>101.28</v>
      </c>
      <c r="L183">
        <v>-0.72</v>
      </c>
      <c r="M183" t="s">
        <v>15</v>
      </c>
      <c r="N183">
        <v>-0.94</v>
      </c>
      <c r="O183">
        <v>-7.1000000000000004E-3</v>
      </c>
      <c r="P183" s="2" t="str">
        <f t="shared" si="0"/>
        <v>45967RBLX</v>
      </c>
    </row>
    <row r="184" spans="1:16" x14ac:dyDescent="0.35">
      <c r="A184" s="1">
        <v>45967</v>
      </c>
      <c r="B184" s="4">
        <v>45967</v>
      </c>
      <c r="C184" t="s">
        <v>49</v>
      </c>
      <c r="D184" t="s">
        <v>49</v>
      </c>
      <c r="F184" s="2" t="str">
        <f>VLOOKUP(P184,'llm reader copy paste from py'!$E:$F,2,0)</f>
        <v>bearish</v>
      </c>
      <c r="H184">
        <v>21.06</v>
      </c>
      <c r="I184">
        <v>22.19</v>
      </c>
      <c r="J184">
        <v>19.95</v>
      </c>
      <c r="K184">
        <v>21.25</v>
      </c>
      <c r="L184">
        <v>0.19</v>
      </c>
      <c r="M184" t="s">
        <v>15</v>
      </c>
      <c r="N184">
        <v>5.83</v>
      </c>
      <c r="O184">
        <v>8.9999999999999993E-3</v>
      </c>
      <c r="P184" s="2" t="str">
        <f t="shared" si="0"/>
        <v>45967LYFT</v>
      </c>
    </row>
    <row r="185" spans="1:16" x14ac:dyDescent="0.35">
      <c r="A185" s="1">
        <v>45967</v>
      </c>
      <c r="B185" s="4">
        <v>45967</v>
      </c>
      <c r="C185" t="s">
        <v>50</v>
      </c>
      <c r="D185" t="s">
        <v>50</v>
      </c>
      <c r="F185" s="2" t="str">
        <f>VLOOKUP(P185,'llm reader copy paste from py'!$E:$F,2,0)</f>
        <v>bearish</v>
      </c>
      <c r="H185">
        <v>107.59</v>
      </c>
      <c r="I185">
        <v>108.39</v>
      </c>
      <c r="J185">
        <v>104.2</v>
      </c>
      <c r="K185">
        <v>104.82</v>
      </c>
      <c r="L185">
        <v>-2.77</v>
      </c>
      <c r="M185" t="s">
        <v>15</v>
      </c>
      <c r="N185">
        <v>-0.8</v>
      </c>
      <c r="O185">
        <v>-2.5700000000000001E-2</v>
      </c>
      <c r="P185" s="2" t="str">
        <f t="shared" ref="P185:P248" si="1">_xlfn.CONCAT(B185,C185)</f>
        <v>45967ROKU</v>
      </c>
    </row>
    <row r="186" spans="1:16" x14ac:dyDescent="0.35">
      <c r="A186" s="1">
        <v>45968</v>
      </c>
      <c r="B186" s="4">
        <v>45968</v>
      </c>
      <c r="C186" t="s">
        <v>51</v>
      </c>
      <c r="D186" t="s">
        <v>51</v>
      </c>
      <c r="F186" s="2" t="str">
        <f>VLOOKUP(P186,'llm reader copy paste from py'!$E:$F,2,0)</f>
        <v>bearish</v>
      </c>
      <c r="H186">
        <v>246.59</v>
      </c>
      <c r="I186">
        <v>263.76</v>
      </c>
      <c r="J186">
        <v>245.36</v>
      </c>
      <c r="K186">
        <v>257.82</v>
      </c>
      <c r="L186">
        <v>11.23</v>
      </c>
      <c r="M186" t="s">
        <v>15</v>
      </c>
      <c r="N186">
        <v>17.55</v>
      </c>
      <c r="O186">
        <v>4.5499999999999999E-2</v>
      </c>
      <c r="P186" s="2" t="str">
        <f t="shared" si="1"/>
        <v>45968EXPE</v>
      </c>
    </row>
    <row r="187" spans="1:16" s="2" customFormat="1" x14ac:dyDescent="0.35">
      <c r="A187" s="3">
        <v>45968</v>
      </c>
      <c r="B187" s="13">
        <v>45968</v>
      </c>
      <c r="C187" s="2" t="s">
        <v>83</v>
      </c>
      <c r="D187" s="2" t="s">
        <v>52</v>
      </c>
      <c r="F187" s="2" t="str">
        <f>VLOOKUP(P187,'llm reader copy paste from py'!$E:$F,2,0)</f>
        <v>bullish</v>
      </c>
      <c r="M187" s="2" t="s">
        <v>15</v>
      </c>
      <c r="P187" s="2" t="str">
        <f t="shared" si="1"/>
        <v>45968DASH</v>
      </c>
    </row>
    <row r="188" spans="1:16" x14ac:dyDescent="0.35">
      <c r="A188" s="1">
        <v>45968</v>
      </c>
      <c r="B188" s="4">
        <v>45968</v>
      </c>
      <c r="C188" t="s">
        <v>49</v>
      </c>
      <c r="D188" t="s">
        <v>49</v>
      </c>
      <c r="F188" s="2" t="str">
        <f>VLOOKUP(P188,'llm reader copy paste from py'!$E:$F,2,0)</f>
        <v>bearish</v>
      </c>
      <c r="H188">
        <v>21.06</v>
      </c>
      <c r="I188">
        <v>22.1</v>
      </c>
      <c r="J188">
        <v>20.52</v>
      </c>
      <c r="K188">
        <v>22.04</v>
      </c>
      <c r="L188">
        <v>0.98</v>
      </c>
      <c r="M188" t="s">
        <v>15</v>
      </c>
      <c r="N188">
        <v>3.72</v>
      </c>
      <c r="O188">
        <v>4.65E-2</v>
      </c>
      <c r="P188" s="2" t="str">
        <f t="shared" si="1"/>
        <v>45968LYFT</v>
      </c>
    </row>
    <row r="189" spans="1:16" x14ac:dyDescent="0.35">
      <c r="A189" s="1">
        <v>45968</v>
      </c>
      <c r="B189" s="4">
        <v>45968</v>
      </c>
      <c r="C189" t="s">
        <v>29</v>
      </c>
      <c r="D189" t="s">
        <v>29</v>
      </c>
      <c r="F189" s="2" t="str">
        <f>VLOOKUP(P189,'llm reader copy paste from py'!$E:$F,2,0)</f>
        <v>bullish</v>
      </c>
      <c r="H189">
        <v>242.9</v>
      </c>
      <c r="I189">
        <v>244.9</v>
      </c>
      <c r="J189">
        <v>238.49</v>
      </c>
      <c r="K189">
        <v>244.41</v>
      </c>
      <c r="L189">
        <v>1.51</v>
      </c>
      <c r="M189" t="s">
        <v>15</v>
      </c>
      <c r="N189">
        <v>0.56000000000000005</v>
      </c>
      <c r="O189">
        <v>6.1999999999999998E-3</v>
      </c>
      <c r="P189" s="2" t="str">
        <f t="shared" si="1"/>
        <v>45968AMZN</v>
      </c>
    </row>
    <row r="190" spans="1:16" x14ac:dyDescent="0.35">
      <c r="A190" s="1">
        <v>45968</v>
      </c>
      <c r="B190" s="4">
        <v>45968</v>
      </c>
      <c r="C190" t="s">
        <v>53</v>
      </c>
      <c r="D190" t="s">
        <v>53</v>
      </c>
      <c r="F190" s="2" t="str">
        <f>VLOOKUP(P190,'llm reader copy paste from py'!$E:$F,2,0)</f>
        <v>bullish</v>
      </c>
      <c r="H190">
        <v>300.33999999999997</v>
      </c>
      <c r="I190">
        <v>302.55</v>
      </c>
      <c r="J190">
        <v>298.33</v>
      </c>
      <c r="K190">
        <v>299.66000000000003</v>
      </c>
      <c r="L190">
        <v>-0.68</v>
      </c>
      <c r="M190" t="s">
        <v>15</v>
      </c>
      <c r="N190">
        <v>0.42</v>
      </c>
      <c r="O190">
        <v>-2.3E-3</v>
      </c>
      <c r="P190" s="2" t="str">
        <f t="shared" si="1"/>
        <v>45968MCD</v>
      </c>
    </row>
    <row r="191" spans="1:16" x14ac:dyDescent="0.35">
      <c r="A191" s="1">
        <v>45971</v>
      </c>
      <c r="B191" s="4">
        <v>45971</v>
      </c>
      <c r="C191" t="s">
        <v>51</v>
      </c>
      <c r="D191" t="s">
        <v>51</v>
      </c>
      <c r="F191" s="2" t="str">
        <f>VLOOKUP(P191,'llm reader copy paste from py'!$E:$F,2,0)</f>
        <v>bullish</v>
      </c>
      <c r="H191">
        <v>261.86</v>
      </c>
      <c r="I191">
        <v>269.77</v>
      </c>
      <c r="J191">
        <v>260.14999999999998</v>
      </c>
      <c r="K191">
        <v>267.58999999999997</v>
      </c>
      <c r="L191">
        <v>5.73</v>
      </c>
      <c r="M191" t="s">
        <v>15</v>
      </c>
      <c r="N191">
        <v>3.79</v>
      </c>
      <c r="O191">
        <v>2.1899999999999999E-2</v>
      </c>
      <c r="P191" s="2" t="str">
        <f t="shared" si="1"/>
        <v>45971EXPE</v>
      </c>
    </row>
    <row r="192" spans="1:16" x14ac:dyDescent="0.35">
      <c r="A192" s="1">
        <v>45971</v>
      </c>
      <c r="B192" s="4">
        <v>45971</v>
      </c>
      <c r="C192" t="s">
        <v>16</v>
      </c>
      <c r="D192" t="s">
        <v>16</v>
      </c>
      <c r="F192" s="2" t="str">
        <f>VLOOKUP(P192,'llm reader copy paste from py'!$E:$F,2,0)</f>
        <v>bearish</v>
      </c>
      <c r="H192">
        <v>439.6</v>
      </c>
      <c r="I192">
        <v>449.67</v>
      </c>
      <c r="J192">
        <v>433.36</v>
      </c>
      <c r="K192">
        <v>445.23</v>
      </c>
      <c r="L192">
        <v>5.63</v>
      </c>
      <c r="M192" t="s">
        <v>15</v>
      </c>
      <c r="N192">
        <v>3.66</v>
      </c>
      <c r="O192">
        <v>1.2800000000000001E-2</v>
      </c>
      <c r="P192" s="2" t="str">
        <f t="shared" si="1"/>
        <v>45971TSLA</v>
      </c>
    </row>
    <row r="193" spans="1:16" x14ac:dyDescent="0.35">
      <c r="A193" s="1">
        <v>45971</v>
      </c>
      <c r="B193" s="4">
        <v>45971</v>
      </c>
      <c r="C193" t="s">
        <v>44</v>
      </c>
      <c r="D193" t="s">
        <v>44</v>
      </c>
      <c r="F193" s="2" t="str">
        <f>VLOOKUP(P193,'llm reader copy paste from py'!$E:$F,2,0)</f>
        <v>bearish</v>
      </c>
      <c r="H193">
        <v>7.72</v>
      </c>
      <c r="I193">
        <v>7.92</v>
      </c>
      <c r="J193">
        <v>7.41</v>
      </c>
      <c r="K193">
        <v>7.44</v>
      </c>
      <c r="L193">
        <v>-0.28000000000000003</v>
      </c>
      <c r="M193" t="s">
        <v>15</v>
      </c>
      <c r="N193">
        <v>-2.87</v>
      </c>
      <c r="O193">
        <v>-3.6299999999999999E-2</v>
      </c>
      <c r="P193" s="2" t="str">
        <f t="shared" si="1"/>
        <v>45971PTON</v>
      </c>
    </row>
    <row r="194" spans="1:16" x14ac:dyDescent="0.35">
      <c r="A194" s="1">
        <v>45971</v>
      </c>
      <c r="B194" s="4">
        <v>45971</v>
      </c>
      <c r="C194" t="s">
        <v>20</v>
      </c>
      <c r="D194" t="s">
        <v>20</v>
      </c>
      <c r="F194" s="2" t="str">
        <f>VLOOKUP(P194,'llm reader copy paste from py'!$E:$F,2,0)</f>
        <v>bullish</v>
      </c>
      <c r="H194">
        <v>242.14</v>
      </c>
      <c r="I194">
        <v>248.9</v>
      </c>
      <c r="J194">
        <v>240.5</v>
      </c>
      <c r="K194">
        <v>243.98</v>
      </c>
      <c r="L194">
        <v>1.84</v>
      </c>
      <c r="M194" t="s">
        <v>15</v>
      </c>
      <c r="N194">
        <v>4.47</v>
      </c>
      <c r="O194">
        <v>7.6E-3</v>
      </c>
      <c r="P194" s="2" t="str">
        <f t="shared" si="1"/>
        <v>45971AMD</v>
      </c>
    </row>
    <row r="195" spans="1:16" x14ac:dyDescent="0.35">
      <c r="A195" s="1">
        <v>45971</v>
      </c>
      <c r="B195" s="4">
        <v>45971</v>
      </c>
      <c r="C195" t="s">
        <v>54</v>
      </c>
      <c r="D195" t="s">
        <v>54</v>
      </c>
      <c r="F195" s="2" t="str">
        <f>VLOOKUP(P195,'llm reader copy paste from py'!$E:$F,2,0)</f>
        <v>bearish</v>
      </c>
      <c r="H195">
        <v>15.03</v>
      </c>
      <c r="I195">
        <v>15.92</v>
      </c>
      <c r="J195">
        <v>15</v>
      </c>
      <c r="K195">
        <v>15.6</v>
      </c>
      <c r="L195">
        <v>0.56999999999999995</v>
      </c>
      <c r="M195" t="s">
        <v>15</v>
      </c>
      <c r="N195">
        <v>7.29</v>
      </c>
      <c r="O195">
        <v>3.7900000000000003E-2</v>
      </c>
      <c r="P195" s="2" t="str">
        <f t="shared" si="1"/>
        <v>45971PENN</v>
      </c>
    </row>
    <row r="196" spans="1:16" x14ac:dyDescent="0.35">
      <c r="A196" s="1">
        <v>45972</v>
      </c>
      <c r="B196" s="4">
        <v>45972</v>
      </c>
      <c r="C196" t="s">
        <v>55</v>
      </c>
      <c r="D196" t="s">
        <v>55</v>
      </c>
      <c r="F196" s="2" t="str">
        <f>VLOOKUP(P196,'llm reader copy paste from py'!$E:$F,2,0)</f>
        <v>bullish</v>
      </c>
      <c r="H196">
        <v>2.6</v>
      </c>
      <c r="I196">
        <v>2.63</v>
      </c>
      <c r="J196">
        <v>2.52</v>
      </c>
      <c r="K196">
        <v>2.5499999999999998</v>
      </c>
      <c r="L196">
        <v>-0.05</v>
      </c>
      <c r="M196" t="s">
        <v>15</v>
      </c>
      <c r="N196">
        <v>-1.92</v>
      </c>
      <c r="O196">
        <v>-1.9199999999999998E-2</v>
      </c>
      <c r="P196" s="2" t="str">
        <f t="shared" si="1"/>
        <v>45972CLOV</v>
      </c>
    </row>
    <row r="197" spans="1:16" x14ac:dyDescent="0.35">
      <c r="A197" s="1">
        <v>45972</v>
      </c>
      <c r="B197" s="4">
        <v>45972</v>
      </c>
      <c r="C197" t="s">
        <v>20</v>
      </c>
      <c r="D197" t="s">
        <v>20</v>
      </c>
      <c r="F197" s="2" t="str">
        <f>VLOOKUP(P197,'llm reader copy paste from py'!$E:$F,2,0)</f>
        <v>bearish</v>
      </c>
      <c r="H197">
        <v>241.66</v>
      </c>
      <c r="I197">
        <v>248.46</v>
      </c>
      <c r="J197">
        <v>234.64</v>
      </c>
      <c r="K197">
        <v>237.52</v>
      </c>
      <c r="L197">
        <v>-4.1399999999999997</v>
      </c>
      <c r="M197" t="s">
        <v>15</v>
      </c>
      <c r="N197">
        <v>-2.65</v>
      </c>
      <c r="O197">
        <v>-1.7100000000000001E-2</v>
      </c>
      <c r="P197" s="2" t="str">
        <f t="shared" si="1"/>
        <v>45972AMD</v>
      </c>
    </row>
    <row r="198" spans="1:16" x14ac:dyDescent="0.35">
      <c r="A198" s="1">
        <v>45972</v>
      </c>
      <c r="B198" s="4">
        <v>45972</v>
      </c>
      <c r="C198" t="s">
        <v>27</v>
      </c>
      <c r="D198" t="s">
        <v>27</v>
      </c>
      <c r="F198" s="2" t="str">
        <f>VLOOKUP(P198,'llm reader copy paste from py'!$E:$F,2,0)</f>
        <v>bullish</v>
      </c>
      <c r="H198">
        <v>195.16</v>
      </c>
      <c r="I198">
        <v>195.42</v>
      </c>
      <c r="J198">
        <v>191.3</v>
      </c>
      <c r="K198">
        <v>193.16</v>
      </c>
      <c r="L198">
        <v>-2</v>
      </c>
      <c r="M198" t="s">
        <v>15</v>
      </c>
      <c r="N198">
        <v>-2.96</v>
      </c>
      <c r="O198">
        <v>-1.0200000000000001E-2</v>
      </c>
      <c r="P198" s="2" t="str">
        <f t="shared" si="1"/>
        <v>45972NVDA</v>
      </c>
    </row>
    <row r="199" spans="1:16" x14ac:dyDescent="0.35">
      <c r="A199" s="1">
        <v>45972</v>
      </c>
      <c r="B199" s="4">
        <v>45972</v>
      </c>
      <c r="C199" t="s">
        <v>16</v>
      </c>
      <c r="D199" t="s">
        <v>16</v>
      </c>
      <c r="F199" s="2" t="str">
        <f>VLOOKUP(P199,'llm reader copy paste from py'!$E:$F,2,0)</f>
        <v>bearish</v>
      </c>
      <c r="H199">
        <v>439.4</v>
      </c>
      <c r="I199">
        <v>442.49</v>
      </c>
      <c r="J199">
        <v>432.36</v>
      </c>
      <c r="K199">
        <v>439.62</v>
      </c>
      <c r="L199">
        <v>0.22</v>
      </c>
      <c r="M199" t="s">
        <v>15</v>
      </c>
      <c r="N199">
        <v>-1.26</v>
      </c>
      <c r="O199">
        <v>5.0000000000000001E-4</v>
      </c>
      <c r="P199" s="2" t="str">
        <f t="shared" si="1"/>
        <v>45972TSLA</v>
      </c>
    </row>
    <row r="200" spans="1:16" x14ac:dyDescent="0.35">
      <c r="A200" s="1">
        <v>45972</v>
      </c>
      <c r="B200" s="4">
        <v>45972</v>
      </c>
      <c r="C200" t="s">
        <v>51</v>
      </c>
      <c r="D200" t="s">
        <v>51</v>
      </c>
      <c r="F200" s="2" t="str">
        <f>VLOOKUP(P200,'llm reader copy paste from py'!$E:$F,2,0)</f>
        <v>bearish</v>
      </c>
      <c r="H200">
        <v>267.55</v>
      </c>
      <c r="I200">
        <v>268.94</v>
      </c>
      <c r="J200">
        <v>263.70999999999998</v>
      </c>
      <c r="K200">
        <v>264.88</v>
      </c>
      <c r="L200">
        <v>-2.67</v>
      </c>
      <c r="M200" t="s">
        <v>15</v>
      </c>
      <c r="N200">
        <v>-1.01</v>
      </c>
      <c r="O200">
        <v>-0.01</v>
      </c>
      <c r="P200" s="2" t="str">
        <f t="shared" si="1"/>
        <v>45972EXPE</v>
      </c>
    </row>
    <row r="201" spans="1:16" x14ac:dyDescent="0.35">
      <c r="A201" s="1">
        <v>45973</v>
      </c>
      <c r="B201" s="4">
        <v>45973</v>
      </c>
      <c r="C201" t="s">
        <v>16</v>
      </c>
      <c r="D201" t="s">
        <v>16</v>
      </c>
      <c r="F201" s="2" t="str">
        <f>VLOOKUP(P201,'llm reader copy paste from py'!$E:$F,2,0)</f>
        <v>bearish</v>
      </c>
      <c r="H201">
        <v>442.15</v>
      </c>
      <c r="I201">
        <v>442.33</v>
      </c>
      <c r="J201">
        <v>426.56</v>
      </c>
      <c r="K201">
        <v>430.6</v>
      </c>
      <c r="L201">
        <v>-11.55</v>
      </c>
      <c r="M201" t="s">
        <v>15</v>
      </c>
      <c r="N201">
        <v>-2.0499999999999998</v>
      </c>
      <c r="O201">
        <v>-2.6100000000000002E-2</v>
      </c>
      <c r="P201" s="2" t="str">
        <f t="shared" si="1"/>
        <v>45973TSLA</v>
      </c>
    </row>
    <row r="202" spans="1:16" x14ac:dyDescent="0.35">
      <c r="A202" s="1">
        <v>45973</v>
      </c>
      <c r="B202" s="4">
        <v>45973</v>
      </c>
      <c r="C202" t="s">
        <v>27</v>
      </c>
      <c r="D202" t="s">
        <v>27</v>
      </c>
      <c r="F202" s="2" t="str">
        <f>VLOOKUP(P202,'llm reader copy paste from py'!$E:$F,2,0)</f>
        <v>bullish</v>
      </c>
      <c r="H202">
        <v>195.72</v>
      </c>
      <c r="I202">
        <v>195.89</v>
      </c>
      <c r="J202">
        <v>191.13</v>
      </c>
      <c r="K202">
        <v>193.8</v>
      </c>
      <c r="L202">
        <v>-1.92</v>
      </c>
      <c r="M202" t="s">
        <v>15</v>
      </c>
      <c r="N202">
        <v>0.33</v>
      </c>
      <c r="O202">
        <v>-9.7999999999999997E-3</v>
      </c>
      <c r="P202" s="2" t="str">
        <f t="shared" si="1"/>
        <v>45973NVDA</v>
      </c>
    </row>
    <row r="203" spans="1:16" x14ac:dyDescent="0.35">
      <c r="A203" s="1">
        <v>45973</v>
      </c>
      <c r="B203" s="4">
        <v>45973</v>
      </c>
      <c r="C203" t="s">
        <v>56</v>
      </c>
      <c r="D203" t="s">
        <v>56</v>
      </c>
      <c r="F203" s="2" t="str">
        <f>VLOOKUP(P203,'llm reader copy paste from py'!$E:$F,2,0)</f>
        <v>bullish</v>
      </c>
      <c r="H203">
        <v>293.7</v>
      </c>
      <c r="I203">
        <v>294.87</v>
      </c>
      <c r="J203">
        <v>289.58</v>
      </c>
      <c r="K203">
        <v>290.62</v>
      </c>
      <c r="L203">
        <v>-3.08</v>
      </c>
      <c r="M203" t="s">
        <v>15</v>
      </c>
      <c r="N203">
        <v>-0.19</v>
      </c>
      <c r="O203">
        <v>-1.0500000000000001E-2</v>
      </c>
      <c r="P203" s="2" t="str">
        <f t="shared" si="1"/>
        <v>45973TSM</v>
      </c>
    </row>
    <row r="204" spans="1:16" x14ac:dyDescent="0.35">
      <c r="A204" s="1">
        <v>45973</v>
      </c>
      <c r="B204" s="4">
        <v>45973</v>
      </c>
      <c r="C204" t="s">
        <v>57</v>
      </c>
      <c r="D204" t="s">
        <v>57</v>
      </c>
      <c r="F204" s="2" t="str">
        <f>VLOOKUP(P204,'llm reader copy paste from py'!$E:$F,2,0)</f>
        <v>bearish</v>
      </c>
      <c r="H204">
        <v>336.24</v>
      </c>
      <c r="I204">
        <v>339.98</v>
      </c>
      <c r="J204">
        <v>333.44</v>
      </c>
      <c r="K204">
        <v>333.9</v>
      </c>
      <c r="L204">
        <v>-2.34</v>
      </c>
      <c r="M204" t="s">
        <v>15</v>
      </c>
      <c r="N204">
        <v>-0.64</v>
      </c>
      <c r="O204">
        <v>-7.0000000000000001E-3</v>
      </c>
      <c r="P204" s="2" t="str">
        <f t="shared" si="1"/>
        <v>45973AMGN</v>
      </c>
    </row>
    <row r="205" spans="1:16" x14ac:dyDescent="0.35">
      <c r="A205" s="1">
        <v>45973</v>
      </c>
      <c r="B205" s="4">
        <v>45973</v>
      </c>
      <c r="C205" t="s">
        <v>28</v>
      </c>
      <c r="D205" t="s">
        <v>28</v>
      </c>
      <c r="F205" s="2" t="str">
        <f>VLOOKUP(P205,'llm reader copy paste from py'!$E:$F,2,0)</f>
        <v>bullish</v>
      </c>
      <c r="H205">
        <v>275</v>
      </c>
      <c r="I205">
        <v>275.73</v>
      </c>
      <c r="J205">
        <v>271.7</v>
      </c>
      <c r="K205">
        <v>273.47000000000003</v>
      </c>
      <c r="L205">
        <v>-1.53</v>
      </c>
      <c r="M205" t="s">
        <v>15</v>
      </c>
      <c r="N205">
        <v>-0.65</v>
      </c>
      <c r="O205">
        <v>-5.5999999999999999E-3</v>
      </c>
      <c r="P205" s="2" t="str">
        <f t="shared" si="1"/>
        <v>45973AAPL</v>
      </c>
    </row>
    <row r="206" spans="1:16" x14ac:dyDescent="0.35">
      <c r="A206" s="1">
        <v>45974</v>
      </c>
      <c r="B206" s="4">
        <v>45974</v>
      </c>
      <c r="C206" t="s">
        <v>58</v>
      </c>
      <c r="D206" t="s">
        <v>58</v>
      </c>
      <c r="F206" s="2" t="str">
        <f>VLOOKUP(P206,'llm reader copy paste from py'!$E:$F,2,0)</f>
        <v>bullish</v>
      </c>
      <c r="H206">
        <v>77.95</v>
      </c>
      <c r="I206">
        <v>79.5</v>
      </c>
      <c r="J206">
        <v>76.650000000000006</v>
      </c>
      <c r="K206">
        <v>77.38</v>
      </c>
      <c r="L206">
        <v>-0.56999999999999995</v>
      </c>
      <c r="M206" t="s">
        <v>15</v>
      </c>
      <c r="N206">
        <v>4.62</v>
      </c>
      <c r="O206">
        <v>-7.3000000000000001E-3</v>
      </c>
      <c r="P206" s="2" t="str">
        <f t="shared" si="1"/>
        <v>45974CSCO</v>
      </c>
    </row>
    <row r="207" spans="1:16" x14ac:dyDescent="0.35">
      <c r="A207" s="1">
        <v>45974</v>
      </c>
      <c r="B207" s="4">
        <v>45974</v>
      </c>
      <c r="C207" t="s">
        <v>29</v>
      </c>
      <c r="D207" t="s">
        <v>29</v>
      </c>
      <c r="F207" s="2" t="str">
        <f>VLOOKUP(P207,'llm reader copy paste from py'!$E:$F,2,0)</f>
        <v>bullish</v>
      </c>
      <c r="H207">
        <v>243.05</v>
      </c>
      <c r="I207">
        <v>243.75</v>
      </c>
      <c r="J207">
        <v>236.5</v>
      </c>
      <c r="K207">
        <v>237.58</v>
      </c>
      <c r="L207">
        <v>-5.47</v>
      </c>
      <c r="M207" t="s">
        <v>15</v>
      </c>
      <c r="N207">
        <v>-2.71</v>
      </c>
      <c r="O207">
        <v>-2.2499999999999999E-2</v>
      </c>
      <c r="P207" s="2" t="str">
        <f t="shared" si="1"/>
        <v>45974AMZN</v>
      </c>
    </row>
    <row r="208" spans="1:16" x14ac:dyDescent="0.35">
      <c r="A208" s="1">
        <v>45974</v>
      </c>
      <c r="B208" s="4">
        <v>45974</v>
      </c>
      <c r="C208" t="s">
        <v>36</v>
      </c>
      <c r="D208" t="s">
        <v>36</v>
      </c>
      <c r="F208" s="2" t="str">
        <f>VLOOKUP(P208,'llm reader copy paste from py'!$E:$F,2,0)</f>
        <v>bearish</v>
      </c>
      <c r="H208">
        <v>115.85</v>
      </c>
      <c r="I208">
        <v>116.73</v>
      </c>
      <c r="J208">
        <v>114.57</v>
      </c>
      <c r="K208">
        <v>115.42</v>
      </c>
      <c r="L208">
        <v>-0.43</v>
      </c>
      <c r="M208" t="s">
        <v>15</v>
      </c>
      <c r="N208">
        <v>-0.28000000000000003</v>
      </c>
      <c r="O208">
        <v>-3.7000000000000002E-3</v>
      </c>
      <c r="P208" s="2" t="str">
        <f t="shared" si="1"/>
        <v>45974NFLX</v>
      </c>
    </row>
    <row r="209" spans="1:16" x14ac:dyDescent="0.35">
      <c r="A209" s="1">
        <v>45974</v>
      </c>
      <c r="B209" s="4">
        <v>45974</v>
      </c>
      <c r="C209" t="s">
        <v>59</v>
      </c>
      <c r="D209" t="s">
        <v>59</v>
      </c>
      <c r="F209" s="2" t="str">
        <f>VLOOKUP(P209,'llm reader copy paste from py'!$E:$F,2,0)</f>
        <v>bearish</v>
      </c>
      <c r="H209">
        <v>312.29000000000002</v>
      </c>
      <c r="I209">
        <v>314.60000000000002</v>
      </c>
      <c r="J209">
        <v>303.68</v>
      </c>
      <c r="K209">
        <v>304.86</v>
      </c>
      <c r="L209">
        <v>-7.43</v>
      </c>
      <c r="M209" t="s">
        <v>15</v>
      </c>
      <c r="N209">
        <v>-3.21</v>
      </c>
      <c r="O209">
        <v>-2.3800000000000002E-2</v>
      </c>
      <c r="P209" s="2" t="str">
        <f t="shared" si="1"/>
        <v>45974IBM</v>
      </c>
    </row>
    <row r="210" spans="1:16" x14ac:dyDescent="0.35">
      <c r="A210" s="1">
        <v>45974</v>
      </c>
      <c r="B210" s="4">
        <v>45974</v>
      </c>
      <c r="C210" t="s">
        <v>60</v>
      </c>
      <c r="D210" t="s">
        <v>60</v>
      </c>
      <c r="F210" s="2" t="str">
        <f>VLOOKUP(P210,'llm reader copy paste from py'!$E:$F,2,0)</f>
        <v>bearish</v>
      </c>
      <c r="H210">
        <v>13.4</v>
      </c>
      <c r="I210">
        <v>13.5</v>
      </c>
      <c r="J210">
        <v>13.25</v>
      </c>
      <c r="K210">
        <v>13.28</v>
      </c>
      <c r="L210">
        <v>-0.12</v>
      </c>
      <c r="M210" t="s">
        <v>15</v>
      </c>
      <c r="N210">
        <v>-1.26</v>
      </c>
      <c r="O210">
        <v>-8.9999999999999993E-3</v>
      </c>
      <c r="P210" s="2" t="str">
        <f t="shared" si="1"/>
        <v>45974F</v>
      </c>
    </row>
    <row r="211" spans="1:16" s="5" customFormat="1" x14ac:dyDescent="0.35">
      <c r="A211" s="11">
        <v>45974</v>
      </c>
      <c r="B211" s="12">
        <v>45974</v>
      </c>
      <c r="F211" s="5" t="e">
        <f>VLOOKUP(P211,'llm reader copy paste from py'!$E:$F,2,0)</f>
        <v>#N/A</v>
      </c>
      <c r="M211" s="5" t="s">
        <v>15</v>
      </c>
      <c r="P211" s="2" t="str">
        <f t="shared" si="1"/>
        <v>45974</v>
      </c>
    </row>
    <row r="212" spans="1:16" x14ac:dyDescent="0.35">
      <c r="A212" s="1">
        <v>45975</v>
      </c>
      <c r="B212" s="4">
        <v>45975</v>
      </c>
      <c r="C212" t="s">
        <v>61</v>
      </c>
      <c r="D212" t="s">
        <v>61</v>
      </c>
      <c r="F212" s="2" t="str">
        <f>VLOOKUP(P212,'llm reader copy paste from py'!$E:$F,2,0)</f>
        <v>bearish</v>
      </c>
      <c r="H212">
        <v>64.94</v>
      </c>
      <c r="I212">
        <v>65.06</v>
      </c>
      <c r="J212">
        <v>63.75</v>
      </c>
      <c r="K212">
        <v>64.17</v>
      </c>
      <c r="L212">
        <v>-0.77</v>
      </c>
      <c r="M212" t="s">
        <v>15</v>
      </c>
      <c r="N212">
        <v>-2.82</v>
      </c>
      <c r="O212">
        <v>-1.1900000000000001E-2</v>
      </c>
      <c r="P212" s="2" t="str">
        <f t="shared" si="1"/>
        <v>45975NKE</v>
      </c>
    </row>
    <row r="213" spans="1:16" x14ac:dyDescent="0.35">
      <c r="A213" s="1">
        <v>45975</v>
      </c>
      <c r="B213" s="4">
        <v>45975</v>
      </c>
      <c r="C213" t="s">
        <v>20</v>
      </c>
      <c r="D213" t="s">
        <v>20</v>
      </c>
      <c r="F213" s="2" t="str">
        <f>VLOOKUP(P213,'llm reader copy paste from py'!$E:$F,2,0)</f>
        <v>bearish</v>
      </c>
      <c r="H213">
        <v>240.11</v>
      </c>
      <c r="I213">
        <v>253.44</v>
      </c>
      <c r="J213">
        <v>235.08</v>
      </c>
      <c r="K213">
        <v>246.81</v>
      </c>
      <c r="L213">
        <v>6.7</v>
      </c>
      <c r="M213" t="s">
        <v>15</v>
      </c>
      <c r="N213">
        <v>-0.46</v>
      </c>
      <c r="O213">
        <v>2.7900000000000001E-2</v>
      </c>
      <c r="P213" s="2" t="str">
        <f t="shared" si="1"/>
        <v>45975AMD</v>
      </c>
    </row>
    <row r="214" spans="1:16" x14ac:dyDescent="0.35">
      <c r="A214" s="1">
        <v>45975</v>
      </c>
      <c r="B214" s="4">
        <v>45975</v>
      </c>
      <c r="C214" t="s">
        <v>27</v>
      </c>
      <c r="D214" t="s">
        <v>27</v>
      </c>
      <c r="F214" s="2" t="str">
        <f>VLOOKUP(P214,'llm reader copy paste from py'!$E:$F,2,0)</f>
        <v>bearish</v>
      </c>
      <c r="H214">
        <v>182.86</v>
      </c>
      <c r="I214">
        <v>191.01</v>
      </c>
      <c r="J214">
        <v>180.58</v>
      </c>
      <c r="K214">
        <v>190.17</v>
      </c>
      <c r="L214">
        <v>7.31</v>
      </c>
      <c r="M214" t="s">
        <v>15</v>
      </c>
      <c r="N214">
        <v>1.77</v>
      </c>
      <c r="O214">
        <v>0.04</v>
      </c>
      <c r="P214" s="2" t="str">
        <f t="shared" si="1"/>
        <v>45975NVDA</v>
      </c>
    </row>
    <row r="215" spans="1:16" x14ac:dyDescent="0.35">
      <c r="A215" s="1">
        <v>45975</v>
      </c>
      <c r="B215" s="4">
        <v>45975</v>
      </c>
      <c r="C215" t="s">
        <v>62</v>
      </c>
      <c r="D215" t="s">
        <v>62</v>
      </c>
      <c r="F215" s="2" t="str">
        <f>VLOOKUP(P215,'llm reader copy paste from py'!$E:$F,2,0)</f>
        <v>bullish</v>
      </c>
      <c r="H215">
        <v>231.45</v>
      </c>
      <c r="I215">
        <v>255.17</v>
      </c>
      <c r="J215">
        <v>231.23</v>
      </c>
      <c r="K215">
        <v>246.83</v>
      </c>
      <c r="L215">
        <v>15.38</v>
      </c>
      <c r="M215" t="s">
        <v>15</v>
      </c>
      <c r="N215">
        <v>4.17</v>
      </c>
      <c r="O215">
        <v>6.6500000000000004E-2</v>
      </c>
      <c r="P215" s="2" t="str">
        <f t="shared" si="1"/>
        <v>45975MU</v>
      </c>
    </row>
    <row r="216" spans="1:16" x14ac:dyDescent="0.35">
      <c r="A216" s="1">
        <v>45975</v>
      </c>
      <c r="B216" s="4">
        <v>45975</v>
      </c>
      <c r="C216" t="s">
        <v>63</v>
      </c>
      <c r="D216" t="s">
        <v>63</v>
      </c>
      <c r="F216" s="2" t="str">
        <f>VLOOKUP(P216,'llm reader copy paste from py'!$E:$F,2,0)</f>
        <v>bearish</v>
      </c>
      <c r="H216">
        <v>107.52</v>
      </c>
      <c r="I216">
        <v>108.73</v>
      </c>
      <c r="J216">
        <v>105.3</v>
      </c>
      <c r="K216">
        <v>105.8</v>
      </c>
      <c r="L216">
        <v>-1.72</v>
      </c>
      <c r="M216" t="s">
        <v>15</v>
      </c>
      <c r="N216">
        <v>-1.68</v>
      </c>
      <c r="O216">
        <v>-1.6E-2</v>
      </c>
      <c r="P216" s="2" t="str">
        <f t="shared" si="1"/>
        <v>45975DIS</v>
      </c>
    </row>
    <row r="217" spans="1:16" x14ac:dyDescent="0.35">
      <c r="A217" s="1">
        <v>45978</v>
      </c>
      <c r="B217" s="4">
        <v>45978</v>
      </c>
      <c r="C217" t="s">
        <v>64</v>
      </c>
      <c r="D217" t="s">
        <v>64</v>
      </c>
      <c r="F217" s="2" t="str">
        <f>VLOOKUP(P217,'llm reader copy paste from py'!$E:$F,2,0)</f>
        <v>bearish</v>
      </c>
      <c r="H217">
        <v>285.77999999999997</v>
      </c>
      <c r="I217">
        <v>293.95</v>
      </c>
      <c r="J217">
        <v>283.57</v>
      </c>
      <c r="K217">
        <v>285.02</v>
      </c>
      <c r="L217">
        <v>-0.76</v>
      </c>
      <c r="M217" t="s">
        <v>15</v>
      </c>
      <c r="N217">
        <v>3.11</v>
      </c>
      <c r="O217">
        <v>-2.7000000000000001E-3</v>
      </c>
      <c r="P217" s="2" t="str">
        <f t="shared" si="1"/>
        <v>45978GOOGL</v>
      </c>
    </row>
    <row r="218" spans="1:16" x14ac:dyDescent="0.35">
      <c r="A218" s="1">
        <v>45978</v>
      </c>
      <c r="B218" s="4">
        <v>45978</v>
      </c>
      <c r="C218" t="s">
        <v>13</v>
      </c>
      <c r="D218" t="s">
        <v>13</v>
      </c>
      <c r="F218" s="2" t="str">
        <f>VLOOKUP(P218,'llm reader copy paste from py'!$E:$F,2,0)</f>
        <v>neutral</v>
      </c>
      <c r="H218">
        <v>507.5</v>
      </c>
      <c r="I218">
        <v>511.16</v>
      </c>
      <c r="J218">
        <v>503.97</v>
      </c>
      <c r="K218">
        <v>506.54</v>
      </c>
      <c r="L218">
        <v>-0.96</v>
      </c>
      <c r="M218" t="s">
        <v>15</v>
      </c>
      <c r="N218">
        <v>-0.53</v>
      </c>
      <c r="O218">
        <v>-1.9E-3</v>
      </c>
      <c r="P218" s="2" t="str">
        <f t="shared" si="1"/>
        <v>45978MSFT</v>
      </c>
    </row>
    <row r="219" spans="1:16" x14ac:dyDescent="0.35">
      <c r="A219" s="1">
        <v>45978</v>
      </c>
      <c r="B219" s="4">
        <v>45978</v>
      </c>
      <c r="C219" t="s">
        <v>27</v>
      </c>
      <c r="D219" t="s">
        <v>27</v>
      </c>
      <c r="F219" s="2" t="str">
        <f>VLOOKUP(P219,'llm reader copy paste from py'!$E:$F,2,0)</f>
        <v>bullish</v>
      </c>
      <c r="H219">
        <v>185.97</v>
      </c>
      <c r="I219">
        <v>189</v>
      </c>
      <c r="J219">
        <v>184.32</v>
      </c>
      <c r="K219">
        <v>186.6</v>
      </c>
      <c r="L219">
        <v>0.63</v>
      </c>
      <c r="M219" t="s">
        <v>15</v>
      </c>
      <c r="N219">
        <v>-1.88</v>
      </c>
      <c r="O219">
        <v>3.3999999999999998E-3</v>
      </c>
      <c r="P219" s="2" t="str">
        <f t="shared" si="1"/>
        <v>45978NVDA</v>
      </c>
    </row>
    <row r="220" spans="1:16" x14ac:dyDescent="0.35">
      <c r="A220" s="1">
        <v>45978</v>
      </c>
      <c r="B220" s="4">
        <v>45978</v>
      </c>
      <c r="C220" t="s">
        <v>28</v>
      </c>
      <c r="D220" t="s">
        <v>28</v>
      </c>
      <c r="F220" s="2" t="str">
        <f>VLOOKUP(P220,'llm reader copy paste from py'!$E:$F,2,0)</f>
        <v>bullish</v>
      </c>
      <c r="H220">
        <v>268.82</v>
      </c>
      <c r="I220">
        <v>270.49</v>
      </c>
      <c r="J220">
        <v>265.73</v>
      </c>
      <c r="K220">
        <v>267.45999999999998</v>
      </c>
      <c r="L220">
        <v>-1.36</v>
      </c>
      <c r="M220" t="s">
        <v>15</v>
      </c>
      <c r="N220">
        <v>-1.82</v>
      </c>
      <c r="O220">
        <v>-5.1000000000000004E-3</v>
      </c>
      <c r="P220" s="2" t="str">
        <f t="shared" si="1"/>
        <v>45978AAPL</v>
      </c>
    </row>
    <row r="221" spans="1:16" x14ac:dyDescent="0.35">
      <c r="A221" s="1">
        <v>45978</v>
      </c>
      <c r="B221" s="4">
        <v>45978</v>
      </c>
      <c r="C221" t="s">
        <v>29</v>
      </c>
      <c r="D221" t="s">
        <v>29</v>
      </c>
      <c r="F221" s="2" t="str">
        <f>VLOOKUP(P221,'llm reader copy paste from py'!$E:$F,2,0)</f>
        <v>bullish</v>
      </c>
      <c r="H221">
        <v>233.25</v>
      </c>
      <c r="I221">
        <v>234.6</v>
      </c>
      <c r="J221">
        <v>229.19</v>
      </c>
      <c r="K221">
        <v>232.87</v>
      </c>
      <c r="L221">
        <v>-0.38</v>
      </c>
      <c r="M221" t="s">
        <v>15</v>
      </c>
      <c r="N221">
        <v>-0.78</v>
      </c>
      <c r="O221">
        <v>-1.6000000000000001E-3</v>
      </c>
      <c r="P221" s="2" t="str">
        <f t="shared" si="1"/>
        <v>45978AMZN</v>
      </c>
    </row>
    <row r="222" spans="1:16" x14ac:dyDescent="0.35">
      <c r="A222" s="1">
        <v>45979</v>
      </c>
      <c r="B222" s="4">
        <v>45979</v>
      </c>
      <c r="C222" t="s">
        <v>65</v>
      </c>
      <c r="D222" t="s">
        <v>65</v>
      </c>
      <c r="F222" s="2" t="str">
        <f>VLOOKUP(P222,'llm reader copy paste from py'!$E:$F,2,0)</f>
        <v>bullish</v>
      </c>
      <c r="H222">
        <v>323.77999999999997</v>
      </c>
      <c r="I222">
        <v>326.64</v>
      </c>
      <c r="J222">
        <v>320.8</v>
      </c>
      <c r="K222">
        <v>324.47000000000003</v>
      </c>
      <c r="L222">
        <v>0.69</v>
      </c>
      <c r="M222" t="s">
        <v>15</v>
      </c>
      <c r="N222">
        <v>-0.18</v>
      </c>
      <c r="O222">
        <v>2.0999999999999999E-3</v>
      </c>
      <c r="P222" s="2" t="str">
        <f t="shared" si="1"/>
        <v>45979ADBE</v>
      </c>
    </row>
    <row r="223" spans="1:16" s="2" customFormat="1" x14ac:dyDescent="0.35">
      <c r="A223" s="3">
        <v>45979</v>
      </c>
      <c r="B223" s="13">
        <v>45979</v>
      </c>
      <c r="C223" s="2" t="s">
        <v>69</v>
      </c>
      <c r="D223" s="2" t="s">
        <v>66</v>
      </c>
      <c r="F223" s="2" t="str">
        <f>VLOOKUP(P223,'llm reader copy paste from py'!$E:$F,2,0)</f>
        <v>bearish</v>
      </c>
      <c r="M223" s="2" t="s">
        <v>15</v>
      </c>
      <c r="P223" s="2" t="str">
        <f t="shared" si="1"/>
        <v>45979SQ</v>
      </c>
    </row>
    <row r="224" spans="1:16" x14ac:dyDescent="0.35">
      <c r="A224" s="1">
        <v>45979</v>
      </c>
      <c r="B224" s="4">
        <v>45979</v>
      </c>
      <c r="C224" t="s">
        <v>67</v>
      </c>
      <c r="D224" t="s">
        <v>67</v>
      </c>
      <c r="F224" s="2" t="str">
        <f>VLOOKUP(P224,'llm reader copy paste from py'!$E:$F,2,0)</f>
        <v>bullish</v>
      </c>
      <c r="H224">
        <v>236.24</v>
      </c>
      <c r="I224">
        <v>237.79</v>
      </c>
      <c r="J224">
        <v>230.27</v>
      </c>
      <c r="K224">
        <v>233.5</v>
      </c>
      <c r="L224">
        <v>-2.74</v>
      </c>
      <c r="M224" t="s">
        <v>15</v>
      </c>
      <c r="N224">
        <v>-1.49</v>
      </c>
      <c r="O224">
        <v>-1.1599999999999999E-2</v>
      </c>
      <c r="P224" s="2" t="str">
        <f t="shared" si="1"/>
        <v>45979CRM</v>
      </c>
    </row>
    <row r="225" spans="1:16" x14ac:dyDescent="0.35">
      <c r="A225" s="1">
        <v>45979</v>
      </c>
      <c r="B225" s="4">
        <v>45979</v>
      </c>
      <c r="C225" t="s">
        <v>27</v>
      </c>
      <c r="D225" t="s">
        <v>27</v>
      </c>
      <c r="F225" s="2" t="str">
        <f>VLOOKUP(P225,'llm reader copy paste from py'!$E:$F,2,0)</f>
        <v>bullish</v>
      </c>
      <c r="H225">
        <v>183.38</v>
      </c>
      <c r="I225">
        <v>184.8</v>
      </c>
      <c r="J225">
        <v>179.65</v>
      </c>
      <c r="K225">
        <v>181.36</v>
      </c>
      <c r="L225">
        <v>-2.02</v>
      </c>
      <c r="M225" t="s">
        <v>15</v>
      </c>
      <c r="N225">
        <v>-2.81</v>
      </c>
      <c r="O225">
        <v>-1.0999999999999999E-2</v>
      </c>
      <c r="P225" s="2" t="str">
        <f t="shared" si="1"/>
        <v>45979NVDA</v>
      </c>
    </row>
    <row r="226" spans="1:16" x14ac:dyDescent="0.35">
      <c r="A226" s="1">
        <v>45979</v>
      </c>
      <c r="B226" s="4">
        <v>45979</v>
      </c>
      <c r="C226" t="s">
        <v>68</v>
      </c>
      <c r="D226" t="s">
        <v>68</v>
      </c>
      <c r="F226" s="2" t="str">
        <f>VLOOKUP(P226,'llm reader copy paste from py'!$E:$F,2,0)</f>
        <v>bullish</v>
      </c>
      <c r="H226">
        <v>216.21</v>
      </c>
      <c r="I226">
        <v>223.7</v>
      </c>
      <c r="J226">
        <v>214.5</v>
      </c>
      <c r="K226">
        <v>220.49</v>
      </c>
      <c r="L226">
        <v>4.28</v>
      </c>
      <c r="M226" t="s">
        <v>15</v>
      </c>
      <c r="N226">
        <v>0.28999999999999998</v>
      </c>
      <c r="O226">
        <v>1.9800000000000002E-2</v>
      </c>
      <c r="P226" s="2" t="str">
        <f t="shared" si="1"/>
        <v>45979ORCL</v>
      </c>
    </row>
    <row r="227" spans="1:16" x14ac:dyDescent="0.35">
      <c r="A227" s="1">
        <v>45980</v>
      </c>
      <c r="B227" s="4">
        <v>45980</v>
      </c>
      <c r="C227" t="s">
        <v>28</v>
      </c>
      <c r="D227" t="s">
        <v>28</v>
      </c>
      <c r="F227" s="2" t="str">
        <f>VLOOKUP(P227,'llm reader copy paste from py'!$E:$F,2,0)</f>
        <v>bullish</v>
      </c>
      <c r="H227">
        <v>265.52999999999997</v>
      </c>
      <c r="I227">
        <v>272.20999999999998</v>
      </c>
      <c r="J227">
        <v>265.5</v>
      </c>
      <c r="K227">
        <v>268.56</v>
      </c>
      <c r="L227">
        <v>3.03</v>
      </c>
      <c r="M227" t="s">
        <v>15</v>
      </c>
      <c r="N227">
        <v>0.42</v>
      </c>
      <c r="O227">
        <v>1.14E-2</v>
      </c>
      <c r="P227" s="2" t="str">
        <f t="shared" si="1"/>
        <v>45980AAPL</v>
      </c>
    </row>
    <row r="228" spans="1:16" x14ac:dyDescent="0.35">
      <c r="A228" s="1">
        <v>45980</v>
      </c>
      <c r="B228" s="4">
        <v>45980</v>
      </c>
      <c r="C228" t="s">
        <v>27</v>
      </c>
      <c r="D228" t="s">
        <v>27</v>
      </c>
      <c r="F228" s="2" t="str">
        <f>VLOOKUP(P228,'llm reader copy paste from py'!$E:$F,2,0)</f>
        <v>bullish</v>
      </c>
      <c r="H228">
        <v>184.79</v>
      </c>
      <c r="I228">
        <v>187.86</v>
      </c>
      <c r="J228">
        <v>182.83</v>
      </c>
      <c r="K228">
        <v>186.52</v>
      </c>
      <c r="L228">
        <v>1.73</v>
      </c>
      <c r="M228" t="s">
        <v>15</v>
      </c>
      <c r="N228">
        <v>2.85</v>
      </c>
      <c r="O228">
        <v>9.4000000000000004E-3</v>
      </c>
      <c r="P228" s="2" t="str">
        <f t="shared" si="1"/>
        <v>45980NVDA</v>
      </c>
    </row>
    <row r="229" spans="1:16" x14ac:dyDescent="0.35">
      <c r="A229" s="1">
        <v>45980</v>
      </c>
      <c r="B229" s="4">
        <v>45980</v>
      </c>
      <c r="C229" t="s">
        <v>43</v>
      </c>
      <c r="D229" t="s">
        <v>43</v>
      </c>
      <c r="F229" s="2" t="str">
        <f>VLOOKUP(P229,'llm reader copy paste from py'!$E:$F,2,0)</f>
        <v>bearish</v>
      </c>
      <c r="H229">
        <v>287.68</v>
      </c>
      <c r="I229">
        <v>304.25</v>
      </c>
      <c r="J229">
        <v>287.67</v>
      </c>
      <c r="K229">
        <v>292.99</v>
      </c>
      <c r="L229">
        <v>5.31</v>
      </c>
      <c r="M229" t="s">
        <v>15</v>
      </c>
      <c r="N229">
        <v>2.82</v>
      </c>
      <c r="O229">
        <v>1.8499999999999999E-2</v>
      </c>
      <c r="P229" s="2" t="str">
        <f t="shared" si="1"/>
        <v>45980GOOG</v>
      </c>
    </row>
    <row r="230" spans="1:16" x14ac:dyDescent="0.35">
      <c r="A230" s="1">
        <v>45980</v>
      </c>
      <c r="B230" s="4">
        <v>45980</v>
      </c>
      <c r="C230" t="s">
        <v>63</v>
      </c>
      <c r="D230" t="s">
        <v>63</v>
      </c>
      <c r="F230" s="2" t="str">
        <f>VLOOKUP(P230,'llm reader copy paste from py'!$E:$F,2,0)</f>
        <v>bullish</v>
      </c>
      <c r="H230">
        <v>106.08</v>
      </c>
      <c r="I230">
        <v>107.59</v>
      </c>
      <c r="J230">
        <v>104.08</v>
      </c>
      <c r="K230">
        <v>104.67</v>
      </c>
      <c r="L230">
        <v>-1.41</v>
      </c>
      <c r="M230" t="s">
        <v>15</v>
      </c>
      <c r="N230">
        <v>-1.51</v>
      </c>
      <c r="O230">
        <v>-1.3299999999999999E-2</v>
      </c>
      <c r="P230" s="2" t="str">
        <f t="shared" si="1"/>
        <v>45980DIS</v>
      </c>
    </row>
    <row r="231" spans="1:16" x14ac:dyDescent="0.35">
      <c r="A231" s="1">
        <v>45980</v>
      </c>
      <c r="B231" s="4">
        <v>45980</v>
      </c>
      <c r="C231" t="s">
        <v>29</v>
      </c>
      <c r="D231" t="s">
        <v>29</v>
      </c>
      <c r="F231" s="2" t="str">
        <f>VLOOKUP(P231,'llm reader copy paste from py'!$E:$F,2,0)</f>
        <v>bullish</v>
      </c>
      <c r="H231">
        <v>223.74</v>
      </c>
      <c r="I231">
        <v>223.74</v>
      </c>
      <c r="J231">
        <v>218.52</v>
      </c>
      <c r="K231">
        <v>222.69</v>
      </c>
      <c r="L231">
        <v>-1.05</v>
      </c>
      <c r="M231" t="s">
        <v>15</v>
      </c>
      <c r="N231">
        <v>0.06</v>
      </c>
      <c r="O231">
        <v>-4.7000000000000002E-3</v>
      </c>
      <c r="P231" s="2" t="str">
        <f t="shared" si="1"/>
        <v>45980AMZN</v>
      </c>
    </row>
    <row r="232" spans="1:16" x14ac:dyDescent="0.35">
      <c r="A232" s="1">
        <v>45981</v>
      </c>
      <c r="B232" s="4">
        <v>45981</v>
      </c>
      <c r="C232" t="s">
        <v>41</v>
      </c>
      <c r="D232" t="s">
        <v>41</v>
      </c>
      <c r="F232" s="2" t="str">
        <f>VLOOKUP(P232,'llm reader copy paste from py'!$E:$F,2,0)</f>
        <v>bullish</v>
      </c>
      <c r="H232">
        <v>603.5</v>
      </c>
      <c r="I232">
        <v>606.72</v>
      </c>
      <c r="J232">
        <v>583.35</v>
      </c>
      <c r="K232">
        <v>589.15</v>
      </c>
      <c r="L232">
        <v>-14.35</v>
      </c>
      <c r="M232" t="s">
        <v>15</v>
      </c>
      <c r="N232">
        <v>-0.2</v>
      </c>
      <c r="O232">
        <v>-2.3800000000000002E-2</v>
      </c>
      <c r="P232" s="2" t="str">
        <f t="shared" si="1"/>
        <v>45981META</v>
      </c>
    </row>
    <row r="233" spans="1:16" x14ac:dyDescent="0.35">
      <c r="A233" s="1">
        <v>45981</v>
      </c>
      <c r="B233" s="4">
        <v>45981</v>
      </c>
      <c r="C233" t="s">
        <v>16</v>
      </c>
      <c r="D233" t="s">
        <v>16</v>
      </c>
      <c r="F233" s="2" t="str">
        <f>VLOOKUP(P233,'llm reader copy paste from py'!$E:$F,2,0)</f>
        <v>bearish</v>
      </c>
      <c r="H233">
        <v>414.63</v>
      </c>
      <c r="I233">
        <v>428.94</v>
      </c>
      <c r="J233">
        <v>394.74</v>
      </c>
      <c r="K233">
        <v>395.23</v>
      </c>
      <c r="L233">
        <v>-19.399999999999999</v>
      </c>
      <c r="M233" t="s">
        <v>15</v>
      </c>
      <c r="N233">
        <v>-2.17</v>
      </c>
      <c r="O233">
        <v>-4.6800000000000001E-2</v>
      </c>
      <c r="P233" s="2" t="str">
        <f t="shared" si="1"/>
        <v>45981TSLA</v>
      </c>
    </row>
    <row r="234" spans="1:16" x14ac:dyDescent="0.35">
      <c r="A234" s="1">
        <v>45981</v>
      </c>
      <c r="B234" s="4">
        <v>45981</v>
      </c>
      <c r="C234" t="s">
        <v>13</v>
      </c>
      <c r="D234" t="s">
        <v>13</v>
      </c>
      <c r="F234" s="2" t="str">
        <f>VLOOKUP(P234,'llm reader copy paste from py'!$E:$F,2,0)</f>
        <v>bullish</v>
      </c>
      <c r="H234">
        <v>492.71</v>
      </c>
      <c r="I234">
        <v>493.57</v>
      </c>
      <c r="J234">
        <v>475.5</v>
      </c>
      <c r="K234">
        <v>478.43</v>
      </c>
      <c r="L234">
        <v>-14.28</v>
      </c>
      <c r="M234" t="s">
        <v>15</v>
      </c>
      <c r="N234">
        <v>-1.6</v>
      </c>
      <c r="O234">
        <v>-2.9000000000000001E-2</v>
      </c>
      <c r="P234" s="2" t="str">
        <f t="shared" si="1"/>
        <v>45981MSFT</v>
      </c>
    </row>
    <row r="235" spans="1:16" s="2" customFormat="1" x14ac:dyDescent="0.35">
      <c r="A235" s="3">
        <v>45981</v>
      </c>
      <c r="B235" s="13">
        <v>45981</v>
      </c>
      <c r="C235" s="2" t="s">
        <v>69</v>
      </c>
      <c r="D235" s="2" t="s">
        <v>69</v>
      </c>
      <c r="F235" s="2" t="str">
        <f>VLOOKUP(P235,'llm reader copy paste from py'!$E:$F,2,0)</f>
        <v>bullish</v>
      </c>
      <c r="M235" s="2" t="s">
        <v>15</v>
      </c>
      <c r="P235" s="2" t="str">
        <f t="shared" si="1"/>
        <v>45981SQ</v>
      </c>
    </row>
    <row r="236" spans="1:16" x14ac:dyDescent="0.35">
      <c r="A236" s="1">
        <v>45981</v>
      </c>
      <c r="B236" s="4">
        <v>45981</v>
      </c>
      <c r="C236" t="s">
        <v>36</v>
      </c>
      <c r="D236" t="s">
        <v>36</v>
      </c>
      <c r="F236" s="2" t="str">
        <f>VLOOKUP(P236,'llm reader copy paste from py'!$E:$F,2,0)</f>
        <v>bullish</v>
      </c>
      <c r="H236">
        <v>111</v>
      </c>
      <c r="I236">
        <v>111.1</v>
      </c>
      <c r="J236">
        <v>105.39</v>
      </c>
      <c r="K236">
        <v>105.67</v>
      </c>
      <c r="L236">
        <v>-5.33</v>
      </c>
      <c r="M236" t="s">
        <v>15</v>
      </c>
      <c r="N236">
        <v>-3.94</v>
      </c>
      <c r="O236">
        <v>-4.8000000000000001E-2</v>
      </c>
      <c r="P236" s="2" t="str">
        <f t="shared" si="1"/>
        <v>45981NFLX</v>
      </c>
    </row>
    <row r="237" spans="1:16" x14ac:dyDescent="0.35">
      <c r="A237" s="1">
        <v>45982</v>
      </c>
      <c r="B237" s="4">
        <v>45982</v>
      </c>
      <c r="C237" t="s">
        <v>70</v>
      </c>
      <c r="D237" t="s">
        <v>70</v>
      </c>
      <c r="F237" s="2" t="str">
        <f>VLOOKUP(P237,'llm reader copy paste from py'!$E:$F,2,0)</f>
        <v>bullish</v>
      </c>
      <c r="H237">
        <v>166.73</v>
      </c>
      <c r="I237">
        <v>174.86</v>
      </c>
      <c r="J237">
        <v>163.51</v>
      </c>
      <c r="K237">
        <v>174</v>
      </c>
      <c r="L237">
        <v>7.27</v>
      </c>
      <c r="M237" t="s">
        <v>15</v>
      </c>
      <c r="N237">
        <v>8.41</v>
      </c>
      <c r="O237">
        <v>4.36E-2</v>
      </c>
      <c r="P237" s="2" t="str">
        <f t="shared" si="1"/>
        <v>45982ROST</v>
      </c>
    </row>
    <row r="238" spans="1:16" s="2" customFormat="1" x14ac:dyDescent="0.35">
      <c r="A238" s="3">
        <v>45982</v>
      </c>
      <c r="B238" s="13">
        <v>45982</v>
      </c>
      <c r="C238" s="2" t="s">
        <v>71</v>
      </c>
      <c r="D238" s="2" t="s">
        <v>71</v>
      </c>
      <c r="F238" s="2" t="str">
        <f>VLOOKUP(P238,'llm reader copy paste from py'!$E:$F,2,0)</f>
        <v>bullish</v>
      </c>
      <c r="M238" s="2" t="s">
        <v>15</v>
      </c>
      <c r="P238" s="2" t="str">
        <f t="shared" si="1"/>
        <v>45982GPS</v>
      </c>
    </row>
    <row r="239" spans="1:16" x14ac:dyDescent="0.35">
      <c r="A239" s="1">
        <v>45982</v>
      </c>
      <c r="B239" s="4">
        <v>45982</v>
      </c>
      <c r="C239" t="s">
        <v>27</v>
      </c>
      <c r="D239" t="s">
        <v>27</v>
      </c>
      <c r="F239" s="2" t="str">
        <f>VLOOKUP(P239,'llm reader copy paste from py'!$E:$F,2,0)</f>
        <v>bullish</v>
      </c>
      <c r="H239">
        <v>181.24</v>
      </c>
      <c r="I239">
        <v>184.56</v>
      </c>
      <c r="J239">
        <v>172.93</v>
      </c>
      <c r="K239">
        <v>178.88</v>
      </c>
      <c r="L239">
        <v>-2.36</v>
      </c>
      <c r="M239" t="s">
        <v>15</v>
      </c>
      <c r="N239">
        <v>-0.97</v>
      </c>
      <c r="O239">
        <v>-1.2999999999999999E-2</v>
      </c>
      <c r="P239" s="2" t="str">
        <f t="shared" si="1"/>
        <v>45982NVDA</v>
      </c>
    </row>
    <row r="240" spans="1:16" x14ac:dyDescent="0.35">
      <c r="A240" s="1">
        <v>45982</v>
      </c>
      <c r="B240" s="4">
        <v>45982</v>
      </c>
      <c r="C240" t="s">
        <v>72</v>
      </c>
      <c r="D240" t="s">
        <v>72</v>
      </c>
      <c r="F240" s="2" t="str">
        <f>VLOOKUP(P240,'llm reader copy paste from py'!$E:$F,2,0)</f>
        <v>bullish</v>
      </c>
      <c r="H240">
        <v>149.06</v>
      </c>
      <c r="I240">
        <v>152.58000000000001</v>
      </c>
      <c r="J240">
        <v>148.82</v>
      </c>
      <c r="K240">
        <v>151.43</v>
      </c>
      <c r="L240">
        <v>2.37</v>
      </c>
      <c r="M240" t="s">
        <v>15</v>
      </c>
      <c r="N240">
        <v>2.27</v>
      </c>
      <c r="O240">
        <v>1.5900000000000001E-2</v>
      </c>
      <c r="P240" s="2" t="str">
        <f t="shared" si="1"/>
        <v>45982TJX</v>
      </c>
    </row>
    <row r="241" spans="1:16" x14ac:dyDescent="0.35">
      <c r="A241" s="1">
        <v>45982</v>
      </c>
      <c r="B241" s="4">
        <v>45982</v>
      </c>
      <c r="C241" t="s">
        <v>73</v>
      </c>
      <c r="D241" t="s">
        <v>73</v>
      </c>
      <c r="F241" s="2" t="str">
        <f>VLOOKUP(P241,'llm reader copy paste from py'!$E:$F,2,0)</f>
        <v>bearish</v>
      </c>
      <c r="H241">
        <v>230.54</v>
      </c>
      <c r="I241">
        <v>236.56</v>
      </c>
      <c r="J241">
        <v>228.96</v>
      </c>
      <c r="K241">
        <v>234.29</v>
      </c>
      <c r="L241">
        <v>3.75</v>
      </c>
      <c r="M241" t="s">
        <v>15</v>
      </c>
      <c r="N241">
        <v>2.57</v>
      </c>
      <c r="O241">
        <v>1.6299999999999999E-2</v>
      </c>
      <c r="P241" s="2" t="str">
        <f t="shared" si="1"/>
        <v>45982LOW</v>
      </c>
    </row>
    <row r="242" spans="1:16" x14ac:dyDescent="0.35">
      <c r="A242" s="1">
        <v>45985</v>
      </c>
      <c r="B242" s="4">
        <v>45985</v>
      </c>
      <c r="C242" t="s">
        <v>29</v>
      </c>
      <c r="D242" t="s">
        <v>29</v>
      </c>
      <c r="F242" s="2" t="str">
        <f>VLOOKUP(P242,'llm reader copy paste from py'!$E:$F,2,0)</f>
        <v>bullish</v>
      </c>
      <c r="H242">
        <v>222.56</v>
      </c>
      <c r="I242">
        <v>227.33</v>
      </c>
      <c r="J242">
        <v>222.27</v>
      </c>
      <c r="K242">
        <v>226.28</v>
      </c>
      <c r="L242">
        <v>3.72</v>
      </c>
      <c r="M242" t="s">
        <v>15</v>
      </c>
      <c r="N242">
        <v>2.5299999999999998</v>
      </c>
      <c r="O242">
        <v>1.67E-2</v>
      </c>
      <c r="P242" s="2" t="str">
        <f t="shared" si="1"/>
        <v>45985AMZN</v>
      </c>
    </row>
    <row r="243" spans="1:16" x14ac:dyDescent="0.35">
      <c r="A243" s="1">
        <v>45985</v>
      </c>
      <c r="B243" s="4">
        <v>45985</v>
      </c>
      <c r="C243" t="s">
        <v>27</v>
      </c>
      <c r="D243" t="s">
        <v>27</v>
      </c>
      <c r="F243" s="2" t="str">
        <f>VLOOKUP(P243,'llm reader copy paste from py'!$E:$F,2,0)</f>
        <v>bullish</v>
      </c>
      <c r="H243">
        <v>179.49</v>
      </c>
      <c r="I243">
        <v>183.5</v>
      </c>
      <c r="J243">
        <v>176.48</v>
      </c>
      <c r="K243">
        <v>182.55</v>
      </c>
      <c r="L243">
        <v>3.06</v>
      </c>
      <c r="M243" t="s">
        <v>15</v>
      </c>
      <c r="N243">
        <v>2.0499999999999998</v>
      </c>
      <c r="O243">
        <v>1.7000000000000001E-2</v>
      </c>
      <c r="P243" s="2" t="str">
        <f t="shared" si="1"/>
        <v>45985NVDA</v>
      </c>
    </row>
    <row r="244" spans="1:16" x14ac:dyDescent="0.35">
      <c r="A244" s="1">
        <v>45985</v>
      </c>
      <c r="B244" s="4">
        <v>45985</v>
      </c>
      <c r="C244" t="s">
        <v>64</v>
      </c>
      <c r="D244" t="s">
        <v>64</v>
      </c>
      <c r="F244" s="2" t="str">
        <f>VLOOKUP(P244,'llm reader copy paste from py'!$E:$F,2,0)</f>
        <v>bullish</v>
      </c>
      <c r="H244">
        <v>311.13</v>
      </c>
      <c r="I244">
        <v>319.48</v>
      </c>
      <c r="J244">
        <v>309.60000000000002</v>
      </c>
      <c r="K244">
        <v>318.58</v>
      </c>
      <c r="L244">
        <v>7.45</v>
      </c>
      <c r="M244" t="s">
        <v>15</v>
      </c>
      <c r="N244">
        <v>6.31</v>
      </c>
      <c r="O244">
        <v>2.3900000000000001E-2</v>
      </c>
      <c r="P244" s="2" t="str">
        <f t="shared" si="1"/>
        <v>45985GOOGL</v>
      </c>
    </row>
    <row r="245" spans="1:16" x14ac:dyDescent="0.35">
      <c r="A245" s="1">
        <v>45985</v>
      </c>
      <c r="B245" s="4">
        <v>45985</v>
      </c>
      <c r="C245" t="s">
        <v>28</v>
      </c>
      <c r="D245" t="s">
        <v>28</v>
      </c>
      <c r="F245" s="2" t="str">
        <f>VLOOKUP(P245,'llm reader copy paste from py'!$E:$F,2,0)</f>
        <v>bearish</v>
      </c>
      <c r="H245">
        <v>270.89999999999998</v>
      </c>
      <c r="I245">
        <v>277</v>
      </c>
      <c r="J245">
        <v>270.89999999999998</v>
      </c>
      <c r="K245">
        <v>275.92</v>
      </c>
      <c r="L245">
        <v>5.0199999999999996</v>
      </c>
      <c r="M245" t="s">
        <v>15</v>
      </c>
      <c r="N245">
        <v>1.63</v>
      </c>
      <c r="O245">
        <v>1.8499999999999999E-2</v>
      </c>
      <c r="P245" s="2" t="str">
        <f t="shared" si="1"/>
        <v>45985AAPL</v>
      </c>
    </row>
    <row r="246" spans="1:16" x14ac:dyDescent="0.35">
      <c r="A246" s="1">
        <v>45985</v>
      </c>
      <c r="B246" s="4">
        <v>45985</v>
      </c>
      <c r="C246" t="s">
        <v>41</v>
      </c>
      <c r="D246" t="s">
        <v>74</v>
      </c>
      <c r="F246" s="2" t="str">
        <f>VLOOKUP(P246,'llm reader copy paste from py'!$E:$F,2,0)</f>
        <v>bullish</v>
      </c>
      <c r="H246">
        <v>41.82</v>
      </c>
      <c r="I246">
        <v>41.89</v>
      </c>
      <c r="J246">
        <v>41.82</v>
      </c>
      <c r="K246">
        <v>41.89</v>
      </c>
      <c r="L246">
        <v>7.0000000000000007E-2</v>
      </c>
      <c r="M246" t="s">
        <v>15</v>
      </c>
      <c r="N246">
        <v>0.56999999999999995</v>
      </c>
      <c r="O246">
        <v>1.6999999999999999E-3</v>
      </c>
      <c r="P246" s="2" t="str">
        <f t="shared" si="1"/>
        <v>45985META</v>
      </c>
    </row>
    <row r="247" spans="1:16" x14ac:dyDescent="0.35">
      <c r="A247" s="1">
        <v>45986</v>
      </c>
      <c r="B247" s="4">
        <v>45986</v>
      </c>
      <c r="C247" t="s">
        <v>41</v>
      </c>
      <c r="D247" t="s">
        <v>41</v>
      </c>
      <c r="F247" s="2" t="str">
        <f>VLOOKUP(P247,'llm reader copy paste from py'!$E:$F,2,0)</f>
        <v>bullish</v>
      </c>
      <c r="H247">
        <v>624</v>
      </c>
      <c r="I247">
        <v>637.04999999999995</v>
      </c>
      <c r="J247">
        <v>618.29999999999995</v>
      </c>
      <c r="K247">
        <v>636.22</v>
      </c>
      <c r="L247">
        <v>12.22</v>
      </c>
      <c r="M247" t="s">
        <v>15</v>
      </c>
      <c r="N247">
        <v>3.78</v>
      </c>
      <c r="O247">
        <v>1.9599999999999999E-2</v>
      </c>
      <c r="P247" s="2" t="str">
        <f t="shared" si="1"/>
        <v>45986META</v>
      </c>
    </row>
    <row r="248" spans="1:16" x14ac:dyDescent="0.35">
      <c r="A248" s="1">
        <v>45986</v>
      </c>
      <c r="B248" s="4">
        <v>45986</v>
      </c>
      <c r="C248" t="s">
        <v>29</v>
      </c>
      <c r="D248" t="s">
        <v>29</v>
      </c>
      <c r="F248" s="2" t="str">
        <f>VLOOKUP(P248,'llm reader copy paste from py'!$E:$F,2,0)</f>
        <v>bullish</v>
      </c>
      <c r="H248">
        <v>226.38</v>
      </c>
      <c r="I248">
        <v>230.52</v>
      </c>
      <c r="J248">
        <v>223.8</v>
      </c>
      <c r="K248">
        <v>229.67</v>
      </c>
      <c r="L248">
        <v>3.29</v>
      </c>
      <c r="M248" t="s">
        <v>15</v>
      </c>
      <c r="N248">
        <v>1.5</v>
      </c>
      <c r="O248">
        <v>1.4500000000000001E-2</v>
      </c>
      <c r="P248" s="2" t="str">
        <f t="shared" si="1"/>
        <v>45986AMZN</v>
      </c>
    </row>
    <row r="249" spans="1:16" x14ac:dyDescent="0.35">
      <c r="A249" s="1">
        <v>45986</v>
      </c>
      <c r="B249" s="4">
        <v>45986</v>
      </c>
      <c r="C249" t="s">
        <v>27</v>
      </c>
      <c r="D249" t="s">
        <v>27</v>
      </c>
      <c r="F249" s="2" t="str">
        <f>VLOOKUP(P249,'llm reader copy paste from py'!$E:$F,2,0)</f>
        <v>bullish</v>
      </c>
      <c r="H249">
        <v>174.91</v>
      </c>
      <c r="I249">
        <v>178.16</v>
      </c>
      <c r="J249">
        <v>169.55</v>
      </c>
      <c r="K249">
        <v>177.82</v>
      </c>
      <c r="L249">
        <v>2.91</v>
      </c>
      <c r="M249" t="s">
        <v>15</v>
      </c>
      <c r="N249">
        <v>-2.59</v>
      </c>
      <c r="O249">
        <v>1.66E-2</v>
      </c>
      <c r="P249" s="2" t="str">
        <f t="shared" ref="P249:P266" si="2">_xlfn.CONCAT(B249,C249)</f>
        <v>45986NVDA</v>
      </c>
    </row>
    <row r="250" spans="1:16" x14ac:dyDescent="0.35">
      <c r="A250" s="1">
        <v>45986</v>
      </c>
      <c r="B250" s="4">
        <v>45986</v>
      </c>
      <c r="C250" t="s">
        <v>28</v>
      </c>
      <c r="D250" t="s">
        <v>28</v>
      </c>
      <c r="F250" s="2" t="str">
        <f>VLOOKUP(P250,'llm reader copy paste from py'!$E:$F,2,0)</f>
        <v>bearish</v>
      </c>
      <c r="H250">
        <v>275.27</v>
      </c>
      <c r="I250">
        <v>280.38</v>
      </c>
      <c r="J250">
        <v>275.25</v>
      </c>
      <c r="K250">
        <v>276.97000000000003</v>
      </c>
      <c r="L250">
        <v>1.7</v>
      </c>
      <c r="M250" t="s">
        <v>15</v>
      </c>
      <c r="N250">
        <v>0.38</v>
      </c>
      <c r="O250">
        <v>6.1999999999999998E-3</v>
      </c>
      <c r="P250" s="2" t="str">
        <f t="shared" si="2"/>
        <v>45986AAPL</v>
      </c>
    </row>
    <row r="251" spans="1:16" x14ac:dyDescent="0.35">
      <c r="A251" s="1">
        <v>45986</v>
      </c>
      <c r="B251" s="4">
        <v>45986</v>
      </c>
      <c r="C251" t="s">
        <v>64</v>
      </c>
      <c r="D251" t="s">
        <v>64</v>
      </c>
      <c r="F251" s="2" t="str">
        <f>VLOOKUP(P251,'llm reader copy paste from py'!$E:$F,2,0)</f>
        <v>bearish</v>
      </c>
      <c r="H251">
        <v>326.20999999999998</v>
      </c>
      <c r="I251">
        <v>328.83</v>
      </c>
      <c r="J251">
        <v>317.64999999999998</v>
      </c>
      <c r="K251">
        <v>323.44</v>
      </c>
      <c r="L251">
        <v>-2.77</v>
      </c>
      <c r="M251" t="s">
        <v>15</v>
      </c>
      <c r="N251">
        <v>1.53</v>
      </c>
      <c r="O251">
        <v>-8.5000000000000006E-3</v>
      </c>
      <c r="P251" s="2" t="str">
        <f t="shared" si="2"/>
        <v>45986GOOGL</v>
      </c>
    </row>
    <row r="252" spans="1:16" x14ac:dyDescent="0.35">
      <c r="A252" s="1">
        <v>45987</v>
      </c>
      <c r="B252" s="4">
        <v>45987</v>
      </c>
      <c r="C252" t="s">
        <v>41</v>
      </c>
      <c r="D252" t="s">
        <v>41</v>
      </c>
      <c r="F252" s="2" t="str">
        <f>VLOOKUP(P252,'llm reader copy paste from py'!$E:$F,2,0)</f>
        <v>bullish</v>
      </c>
      <c r="H252">
        <v>637.69000000000005</v>
      </c>
      <c r="I252">
        <v>638.36</v>
      </c>
      <c r="J252">
        <v>631.63</v>
      </c>
      <c r="K252">
        <v>633.61</v>
      </c>
      <c r="L252">
        <v>-4.08</v>
      </c>
      <c r="M252" t="s">
        <v>15</v>
      </c>
      <c r="N252">
        <v>-0.41</v>
      </c>
      <c r="O252">
        <v>-6.4000000000000003E-3</v>
      </c>
      <c r="P252" s="2" t="str">
        <f t="shared" si="2"/>
        <v>45987META</v>
      </c>
    </row>
    <row r="253" spans="1:16" x14ac:dyDescent="0.35">
      <c r="A253" s="1">
        <v>45987</v>
      </c>
      <c r="B253" s="4">
        <v>45987</v>
      </c>
      <c r="C253" t="s">
        <v>27</v>
      </c>
      <c r="D253" t="s">
        <v>27</v>
      </c>
      <c r="F253" s="2" t="str">
        <f>VLOOKUP(P253,'llm reader copy paste from py'!$E:$F,2,0)</f>
        <v>bearish</v>
      </c>
      <c r="H253">
        <v>181.63</v>
      </c>
      <c r="I253">
        <v>182.91</v>
      </c>
      <c r="J253">
        <v>178.24</v>
      </c>
      <c r="K253">
        <v>180.26</v>
      </c>
      <c r="L253">
        <v>-1.37</v>
      </c>
      <c r="M253" t="s">
        <v>15</v>
      </c>
      <c r="N253">
        <v>1.37</v>
      </c>
      <c r="O253">
        <v>-7.4999999999999997E-3</v>
      </c>
      <c r="P253" s="2" t="str">
        <f t="shared" si="2"/>
        <v>45987NVDA</v>
      </c>
    </row>
    <row r="254" spans="1:16" x14ac:dyDescent="0.35">
      <c r="A254" s="1">
        <v>45987</v>
      </c>
      <c r="B254" s="4">
        <v>45987</v>
      </c>
      <c r="C254" t="s">
        <v>29</v>
      </c>
      <c r="D254" t="s">
        <v>29</v>
      </c>
      <c r="F254" s="2" t="str">
        <f>VLOOKUP(P254,'llm reader copy paste from py'!$E:$F,2,0)</f>
        <v>bullish</v>
      </c>
      <c r="H254">
        <v>230.74</v>
      </c>
      <c r="I254">
        <v>231.75</v>
      </c>
      <c r="J254">
        <v>228.77</v>
      </c>
      <c r="K254">
        <v>229.16</v>
      </c>
      <c r="L254">
        <v>-1.58</v>
      </c>
      <c r="M254" t="s">
        <v>15</v>
      </c>
      <c r="N254">
        <v>-0.22</v>
      </c>
      <c r="O254">
        <v>-6.7999999999999996E-3</v>
      </c>
      <c r="P254" s="2" t="str">
        <f t="shared" si="2"/>
        <v>45987AMZN</v>
      </c>
    </row>
    <row r="255" spans="1:16" s="2" customFormat="1" x14ac:dyDescent="0.35">
      <c r="A255" s="3">
        <v>45987</v>
      </c>
      <c r="B255" s="13">
        <v>45987</v>
      </c>
      <c r="C255" s="2" t="s">
        <v>81</v>
      </c>
      <c r="D255" s="2" t="s">
        <v>75</v>
      </c>
      <c r="F255" s="2" t="str">
        <f>VLOOKUP(P255,'llm reader copy paste from py'!$E:$F,2,0)</f>
        <v>bearish</v>
      </c>
      <c r="M255" s="2" t="s">
        <v>15</v>
      </c>
      <c r="P255" s="2" t="str">
        <f>_xlfn.CONCAT(B255,C255)</f>
        <v>45987KSS</v>
      </c>
    </row>
    <row r="256" spans="1:16" s="2" customFormat="1" x14ac:dyDescent="0.35">
      <c r="A256" s="3">
        <v>45987</v>
      </c>
      <c r="B256" s="13">
        <v>45987</v>
      </c>
      <c r="C256" s="2" t="s">
        <v>76</v>
      </c>
      <c r="D256" s="2" t="s">
        <v>76</v>
      </c>
      <c r="F256" s="2" t="str">
        <f>VLOOKUP(P256,'llm reader copy paste from py'!$E:$F,2,0)</f>
        <v>bearish</v>
      </c>
      <c r="M256" s="2" t="s">
        <v>15</v>
      </c>
      <c r="P256" s="2" t="str">
        <f t="shared" ref="P256:P266" si="3">_xlfn.CONCAT(B256,C256)</f>
        <v>45987PARAA</v>
      </c>
    </row>
    <row r="257" spans="1:16" x14ac:dyDescent="0.35">
      <c r="A257" s="1">
        <v>45988</v>
      </c>
      <c r="B257" s="4">
        <v>45988</v>
      </c>
      <c r="C257" t="s">
        <v>27</v>
      </c>
      <c r="D257" t="s">
        <v>27</v>
      </c>
      <c r="F257" s="2" t="str">
        <f>VLOOKUP(P257,'llm reader copy paste from py'!$E:$F,2,0)</f>
        <v>bullish</v>
      </c>
      <c r="H257">
        <v>181.63</v>
      </c>
      <c r="I257">
        <v>182.91</v>
      </c>
      <c r="J257">
        <v>178.24</v>
      </c>
      <c r="K257">
        <v>180.26</v>
      </c>
      <c r="L257">
        <v>-1.37</v>
      </c>
      <c r="M257" t="s">
        <v>15</v>
      </c>
      <c r="N257">
        <v>1.37</v>
      </c>
      <c r="O257">
        <v>-7.4999999999999997E-3</v>
      </c>
      <c r="P257" s="2" t="str">
        <f t="shared" si="3"/>
        <v>45988NVDA</v>
      </c>
    </row>
    <row r="258" spans="1:16" x14ac:dyDescent="0.35">
      <c r="A258" s="1">
        <v>45988</v>
      </c>
      <c r="B258" s="4">
        <v>45988</v>
      </c>
      <c r="C258" t="s">
        <v>28</v>
      </c>
      <c r="D258" t="s">
        <v>28</v>
      </c>
      <c r="F258" s="2" t="str">
        <f>VLOOKUP(P258,'llm reader copy paste from py'!$E:$F,2,0)</f>
        <v>bearish</v>
      </c>
      <c r="H258">
        <v>276.95999999999998</v>
      </c>
      <c r="I258">
        <v>279.52999999999997</v>
      </c>
      <c r="J258">
        <v>276.63</v>
      </c>
      <c r="K258">
        <v>277.55</v>
      </c>
      <c r="L258">
        <v>0.59</v>
      </c>
      <c r="M258" t="s">
        <v>15</v>
      </c>
      <c r="N258">
        <v>0.21</v>
      </c>
      <c r="O258">
        <v>2.0999999999999999E-3</v>
      </c>
      <c r="P258" s="2" t="str">
        <f t="shared" si="3"/>
        <v>45988AAPL</v>
      </c>
    </row>
    <row r="259" spans="1:16" x14ac:dyDescent="0.35">
      <c r="A259" s="1">
        <v>45988</v>
      </c>
      <c r="B259" s="4">
        <v>45988</v>
      </c>
      <c r="C259" t="s">
        <v>29</v>
      </c>
      <c r="D259" t="s">
        <v>29</v>
      </c>
      <c r="F259" s="2" t="str">
        <f>VLOOKUP(P259,'llm reader copy paste from py'!$E:$F,2,0)</f>
        <v>bullish</v>
      </c>
      <c r="H259">
        <v>230.74</v>
      </c>
      <c r="I259">
        <v>231.75</v>
      </c>
      <c r="J259">
        <v>228.77</v>
      </c>
      <c r="K259">
        <v>229.16</v>
      </c>
      <c r="L259">
        <v>-1.58</v>
      </c>
      <c r="M259" t="s">
        <v>15</v>
      </c>
      <c r="N259">
        <v>-0.22</v>
      </c>
      <c r="O259">
        <v>-6.7999999999999996E-3</v>
      </c>
      <c r="P259" s="2" t="str">
        <f t="shared" si="3"/>
        <v>45988AMZN</v>
      </c>
    </row>
    <row r="260" spans="1:16" x14ac:dyDescent="0.35">
      <c r="A260" s="1">
        <v>45988</v>
      </c>
      <c r="B260" s="4">
        <v>45988</v>
      </c>
      <c r="C260" t="s">
        <v>63</v>
      </c>
      <c r="D260" t="s">
        <v>63</v>
      </c>
      <c r="F260" s="2" t="str">
        <f>VLOOKUP(P260,'llm reader copy paste from py'!$E:$F,2,0)</f>
        <v>bearish</v>
      </c>
      <c r="H260">
        <v>103.32</v>
      </c>
      <c r="I260">
        <v>104.25</v>
      </c>
      <c r="J260">
        <v>102.88</v>
      </c>
      <c r="K260">
        <v>103.43</v>
      </c>
      <c r="L260">
        <v>0.11</v>
      </c>
      <c r="M260" t="s">
        <v>15</v>
      </c>
      <c r="N260">
        <v>0.12</v>
      </c>
      <c r="O260">
        <v>1.1000000000000001E-3</v>
      </c>
      <c r="P260" s="2" t="str">
        <f t="shared" si="3"/>
        <v>45988DIS</v>
      </c>
    </row>
    <row r="261" spans="1:16" x14ac:dyDescent="0.35">
      <c r="A261" s="1">
        <v>45988</v>
      </c>
      <c r="B261" s="4">
        <v>45988</v>
      </c>
      <c r="C261" t="s">
        <v>41</v>
      </c>
      <c r="D261" t="s">
        <v>41</v>
      </c>
      <c r="F261" s="2" t="str">
        <f>VLOOKUP(P261,'llm reader copy paste from py'!$E:$F,2,0)</f>
        <v>bullish</v>
      </c>
      <c r="H261">
        <v>637.69000000000005</v>
      </c>
      <c r="I261">
        <v>638.36</v>
      </c>
      <c r="J261">
        <v>631.63</v>
      </c>
      <c r="K261">
        <v>633.61</v>
      </c>
      <c r="L261">
        <v>-4.08</v>
      </c>
      <c r="M261" t="s">
        <v>15</v>
      </c>
      <c r="N261">
        <v>-0.41</v>
      </c>
      <c r="O261">
        <v>-6.4000000000000003E-3</v>
      </c>
      <c r="P261" s="2" t="str">
        <f t="shared" si="3"/>
        <v>45988META</v>
      </c>
    </row>
    <row r="262" spans="1:16" s="2" customFormat="1" x14ac:dyDescent="0.35">
      <c r="A262" s="3">
        <v>45989</v>
      </c>
      <c r="B262" s="13">
        <v>45989</v>
      </c>
      <c r="C262" s="2" t="s">
        <v>27</v>
      </c>
      <c r="D262" s="2" t="s">
        <v>77</v>
      </c>
      <c r="F262" s="2" t="e">
        <f>VLOOKUP(P262,'llm reader copy paste from py'!$E:$F,2,0)</f>
        <v>#N/A</v>
      </c>
      <c r="M262" s="2" t="s">
        <v>15</v>
      </c>
      <c r="P262" s="2" t="str">
        <f t="shared" si="3"/>
        <v>45989NVDA</v>
      </c>
    </row>
    <row r="263" spans="1:16" s="2" customFormat="1" x14ac:dyDescent="0.35">
      <c r="A263" s="3">
        <v>45989</v>
      </c>
      <c r="B263" s="13">
        <v>45989</v>
      </c>
      <c r="C263" s="2" t="s">
        <v>64</v>
      </c>
      <c r="D263" s="2" t="s">
        <v>78</v>
      </c>
      <c r="F263" s="2" t="e">
        <f>VLOOKUP(P263,'llm reader copy paste from py'!$E:$F,2,0)</f>
        <v>#N/A</v>
      </c>
      <c r="M263" s="2" t="s">
        <v>15</v>
      </c>
      <c r="P263" s="2" t="str">
        <f t="shared" si="3"/>
        <v>45989GOOGL</v>
      </c>
    </row>
    <row r="264" spans="1:16" s="2" customFormat="1" x14ac:dyDescent="0.35">
      <c r="A264" s="3">
        <v>45989</v>
      </c>
      <c r="B264" s="13">
        <v>45989</v>
      </c>
      <c r="C264" s="2" t="s">
        <v>28</v>
      </c>
      <c r="D264" s="2" t="s">
        <v>79</v>
      </c>
      <c r="F264" s="2" t="e">
        <f>VLOOKUP(P264,'llm reader copy paste from py'!$E:$F,2,0)</f>
        <v>#N/A</v>
      </c>
      <c r="M264" s="2" t="s">
        <v>15</v>
      </c>
      <c r="P264" s="2" t="str">
        <f t="shared" si="3"/>
        <v>45989AAPL</v>
      </c>
    </row>
    <row r="265" spans="1:16" x14ac:dyDescent="0.35">
      <c r="A265" s="1">
        <v>45989</v>
      </c>
      <c r="B265" s="4">
        <v>45989</v>
      </c>
      <c r="C265" t="s">
        <v>41</v>
      </c>
      <c r="D265" t="s">
        <v>41</v>
      </c>
      <c r="F265" s="2" t="e">
        <f>VLOOKUP(P265,'llm reader copy paste from py'!$E:$F,2,0)</f>
        <v>#N/A</v>
      </c>
      <c r="H265">
        <v>636.08000000000004</v>
      </c>
      <c r="I265">
        <v>648.04999999999995</v>
      </c>
      <c r="J265">
        <v>635.5</v>
      </c>
      <c r="K265">
        <v>647.95000000000005</v>
      </c>
      <c r="L265">
        <v>11.87</v>
      </c>
      <c r="M265" t="s">
        <v>15</v>
      </c>
      <c r="N265">
        <v>2.2599999999999998</v>
      </c>
      <c r="O265">
        <v>1.8700000000000001E-2</v>
      </c>
      <c r="P265" s="2" t="str">
        <f t="shared" si="3"/>
        <v>45989META</v>
      </c>
    </row>
    <row r="266" spans="1:16" s="2" customFormat="1" x14ac:dyDescent="0.35">
      <c r="A266" s="3">
        <v>45989</v>
      </c>
      <c r="B266" s="13">
        <v>45989</v>
      </c>
      <c r="C266" s="2" t="s">
        <v>110</v>
      </c>
      <c r="D266" s="2" t="s">
        <v>80</v>
      </c>
      <c r="F266" s="2" t="e">
        <f>VLOOKUP(P266,'llm reader copy paste from py'!$E:$F,2,0)</f>
        <v>#N/A</v>
      </c>
      <c r="M266" s="2" t="s">
        <v>15</v>
      </c>
      <c r="P266" s="2" t="str">
        <f t="shared" si="3"/>
        <v>45989SFTBY</v>
      </c>
    </row>
  </sheetData>
  <autoFilter ref="A1:O266" xr:uid="{2BFA5391-7281-4282-A16C-0DAC518F87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llm reader copy paste from py</vt:lpstr>
      <vt:lpstr>new</vt:lpstr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Alp Yilmaz</dc:creator>
  <cp:lastModifiedBy>Berk Alp Yilmaz</cp:lastModifiedBy>
  <dcterms:created xsi:type="dcterms:W3CDTF">2025-11-30T04:52:43Z</dcterms:created>
  <dcterms:modified xsi:type="dcterms:W3CDTF">2025-11-30T05:20:23Z</dcterms:modified>
</cp:coreProperties>
</file>